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D4C0C2E8-A54F-453C-9987-2CB5C77CC7FD}" xr6:coauthVersionLast="47" xr6:coauthVersionMax="47" xr10:uidLastSave="{00000000-0000-0000-0000-000000000000}"/>
  <bookViews>
    <workbookView xWindow="1125" yWindow="1125" windowWidth="21600" windowHeight="11295" activeTab="1" xr2:uid="{B4BAC15A-2930-47E9-8891-A68C053A96F8}"/>
  </bookViews>
  <sheets>
    <sheet name="Raw Data " sheetId="1" r:id="rId1"/>
    <sheet name="Pivot Table" sheetId="2" r:id="rId2"/>
  </sheets>
  <definedNames>
    <definedName name="_xlnm._FilterDatabase" localSheetId="0" hidden="1">'Raw Data '!$A$1:$H$1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<sst xmlns="http://schemas.openxmlformats.org/spreadsheetml/2006/main" count="124" uniqueCount="78">
  <si>
    <t>user1761038034.0316</t>
  </si>
  <si>
    <t>vmasingi@coreeducation.co.za</t>
  </si>
  <si>
    <t>Victor</t>
  </si>
  <si>
    <t>Masingi</t>
  </si>
  <si>
    <t>School Administrator</t>
  </si>
  <si>
    <t>Monday, 16 February 2026 at 15:06</t>
  </si>
  <si>
    <t>Monday, 16 February 2026 at 15:05</t>
  </si>
  <si>
    <t>user1770974965.1471</t>
  </si>
  <si>
    <t>angeline@acudeo.co.za</t>
  </si>
  <si>
    <t>Angie</t>
  </si>
  <si>
    <t>Sekhele</t>
  </si>
  <si>
    <t>Teacher</t>
  </si>
  <si>
    <t>Participant</t>
  </si>
  <si>
    <t>The Ear Academy</t>
  </si>
  <si>
    <t>user1761656501.7987</t>
  </si>
  <si>
    <t>jessica.spires@generationschools.co.za</t>
  </si>
  <si>
    <t>Jessica</t>
  </si>
  <si>
    <t>Spires</t>
  </si>
  <si>
    <t>Monday, 16 February 2026 at 14:20</t>
  </si>
  <si>
    <t>Generation Schools Hermanus</t>
  </si>
  <si>
    <t>Early Learning Centre</t>
  </si>
  <si>
    <t>user1768727256.5875</t>
  </si>
  <si>
    <t>chaneheslop@etham.co.za</t>
  </si>
  <si>
    <t>Chane</t>
  </si>
  <si>
    <t>Heslop</t>
  </si>
  <si>
    <t>Monday, 16 February 2026 at 13:32</t>
  </si>
  <si>
    <t>Etham College</t>
  </si>
  <si>
    <t>user1771237825.3311</t>
  </si>
  <si>
    <t>grader@fcw.co.za</t>
  </si>
  <si>
    <t>user1759926404.3845</t>
  </si>
  <si>
    <t>martincoetsee00@gmail.com</t>
  </si>
  <si>
    <t>Martin</t>
  </si>
  <si>
    <t>Coetsee</t>
  </si>
  <si>
    <t>Monday, 16 February 2026 at 13:24</t>
  </si>
  <si>
    <t>Kammaland Primary School</t>
  </si>
  <si>
    <t>user1752818206.9287</t>
  </si>
  <si>
    <t>carien.v@curro.co.za</t>
  </si>
  <si>
    <t>Carien</t>
  </si>
  <si>
    <t>Van der Walt</t>
  </si>
  <si>
    <t>Monday, 16 February 2026 at 12:45</t>
  </si>
  <si>
    <t>user1771234463.5111</t>
  </si>
  <si>
    <t>lmoshoeshoe@acudeo.co.za</t>
  </si>
  <si>
    <t>Liteboho</t>
  </si>
  <si>
    <t>Moshoeshoe</t>
  </si>
  <si>
    <t>Monday, 16 February 2026 at 11:55</t>
  </si>
  <si>
    <t>user1757925415.8532</t>
  </si>
  <si>
    <t>geeljanika875@gmail.com</t>
  </si>
  <si>
    <t>Janika</t>
  </si>
  <si>
    <t>Vermeulen</t>
  </si>
  <si>
    <t>Monday, 16 February 2026 at 11:36</t>
  </si>
  <si>
    <t>Harriston Primary School</t>
  </si>
  <si>
    <t>user1769773679.2946</t>
  </si>
  <si>
    <t>zdavids@royalschools.co.za</t>
  </si>
  <si>
    <t>Zainab</t>
  </si>
  <si>
    <t>Davids</t>
  </si>
  <si>
    <t>Monday, 16 February 2026 at 10:10</t>
  </si>
  <si>
    <t>Royal Schools Starlight Academy</t>
  </si>
  <si>
    <t>user1768547273.8442</t>
  </si>
  <si>
    <t>Monday, 16 February 2026 at 08:32</t>
  </si>
  <si>
    <t>user1768292748.81</t>
  </si>
  <si>
    <t>Monday, 16 February 2026 at 07:48</t>
  </si>
  <si>
    <t>Amberfield College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</si>
  <si>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</si>
  <si>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</si>
  <si>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</si>
  <si>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</si>
  <si>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</si>
  <si>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</si>
  <si>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</si>
  <si>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 xml:space="preserve">Acudeo Thornview Primary </t>
  </si>
  <si>
    <t>Acudeo Thornview Primary</t>
  </si>
  <si>
    <t>Shandre</t>
  </si>
  <si>
    <t>(All)</t>
  </si>
  <si>
    <t>Column Labels</t>
  </si>
  <si>
    <t>Grand Total</t>
  </si>
  <si>
    <t>Row Labels</t>
  </si>
  <si>
    <t>Count of First Name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</si>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</sst>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69.673984143519" createdVersion="8" refreshedVersion="8" minRefreshableVersion="3" recordCount="12" xr:uid="{6A7303FD-CF15-4A38-A401-5FCB7F70C18D}">
  <cacheSource type="worksheet">
    <worksheetSource ref="A1:H13" sheet="Raw Data "/>
  </cacheSource>
  <cacheFields count="7">
    <cacheField name="UserName" numFmtId="0">
      <sharedItems/>
    </cacheField>
    <cacheField name="Email Address" numFmtId="0">
      <sharedItems count="10">
        <s v="vmasingi@coreeducation.co.za"/>
        <s v="angeline@acudeo.co.za"/>
        <s v="jessica.spires@generationschools.co.za"/>
        <s v="chaneheslop@etham.co.za"/>
        <s v="grader@fcw.co.za"/>
        <s v="martincoetsee00@gmail.com"/>
        <s v="carien.v@curro.co.za"/>
        <s v="lmoshoeshoe@acudeo.co.za"/>
        <s v="geeljanika875@gmail.com"/>
        <s v="zdavids@royalschools.co.za"/>
      </sharedItems>
    </cacheField>
    <cacheField name="First Name" numFmtId="0">
      <sharedItems count="10">
        <s v="Victor"/>
        <s v="Angie"/>
        <s v="Jessica"/>
        <s v="Chane"/>
        <s v="Shandre"/>
        <s v="Martin"/>
        <s v="Carien"/>
        <s v="Liteboho"/>
        <s v="Janika"/>
        <s v="Zainab"/>
      </sharedItems>
    </cacheField>
    <cacheField name="Surname" numFmtId="0">
      <sharedItems/>
    </cacheField>
    <cacheField name="UserRoles" numFmtId="0">
      <sharedItems count="3">
        <s v="School Administrator"/>
        <s v="Teacher"/>
        <s v="Participant"/>
      </sharedItems>
    </cacheField>
    <cacheField name="Date &amp; Time" numFmtId="0">
      <sharedItems count="11">
        <s v="Monday, 16 February 2026 at 15:06"/>
        <s v="Monday, 16 February 2026 at 15:05"/>
        <s v="Monday, 16 February 2026 at 14:20"/>
        <s v="Monday, 16 February 2026 at 13:32"/>
        <s v="Monday, 16 February 2026 at 13:24"/>
        <s v="Monday, 16 February 2026 at 12:45"/>
        <s v="Monday, 16 February 2026 at 11:55"/>
        <s v="Monday, 16 February 2026 at 11:36"/>
        <s v="Monday, 16 February 2026 at 10:10"/>
        <s v="Monday, 16 February 2026 at 08:32"/>
        <s v="Monday, 16 February 2026 at 07:48"/>
      </sharedItems>
    </cacheField>
    <cacheField name="School Name" numFmtId="0">
      <sharedItems count="10">
        <s v="Acudeo Thornview Primary "/>
        <s v="Acudeo Thornview Primary"/>
        <s v="Generation Schools Hermanus"/>
        <s v="Etham College"/>
        <s v="Early Learning Centre"/>
        <s v="Kammaland Primary School"/>
        <s v="The Ear Academy"/>
        <s v="Harriston Primary School"/>
        <s v="Royal Schools Starlight Academy"/>
        <s v="Amberfield Colle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user1761038034.0316"/>
    <x v="0"/>
    <x v="0"/>
    <s v="Masingi"/>
    <x v="0"/>
    <x v="0"/>
    <x v="0"/>
  </r>
  <r>
    <s v="user1770974965.1471"/>
    <x v="1"/>
    <x v="1"/>
    <s v="Sekhele"/>
    <x v="1"/>
    <x v="1"/>
    <x v="1"/>
  </r>
  <r>
    <s v="user1761656501.7987"/>
    <x v="2"/>
    <x v="2"/>
    <s v="Spires"/>
    <x v="1"/>
    <x v="2"/>
    <x v="2"/>
  </r>
  <r>
    <s v="user1768727256.5875"/>
    <x v="3"/>
    <x v="3"/>
    <s v="Heslop"/>
    <x v="1"/>
    <x v="3"/>
    <x v="3"/>
  </r>
  <r>
    <s v="user1771237825.3311"/>
    <x v="4"/>
    <x v="4"/>
    <s v="Teacher"/>
    <x v="1"/>
    <x v="3"/>
    <x v="4"/>
  </r>
  <r>
    <s v="user1759926404.3845"/>
    <x v="5"/>
    <x v="5"/>
    <s v="Coetsee"/>
    <x v="0"/>
    <x v="4"/>
    <x v="5"/>
  </r>
  <r>
    <s v="user1752818206.9287"/>
    <x v="6"/>
    <x v="6"/>
    <s v="Van der Walt"/>
    <x v="2"/>
    <x v="5"/>
    <x v="6"/>
  </r>
  <r>
    <s v="user1771234463.5111"/>
    <x v="7"/>
    <x v="7"/>
    <s v="Moshoeshoe"/>
    <x v="1"/>
    <x v="6"/>
    <x v="1"/>
  </r>
  <r>
    <s v="user1757925415.8532"/>
    <x v="8"/>
    <x v="8"/>
    <s v="Vermeulen"/>
    <x v="0"/>
    <x v="7"/>
    <x v="7"/>
  </r>
  <r>
    <s v="user1769773679.2946"/>
    <x v="9"/>
    <x v="9"/>
    <s v="Davids"/>
    <x v="1"/>
    <x v="8"/>
    <x v="8"/>
  </r>
  <r>
    <s v="user1768547273.8442"/>
    <x v="0"/>
    <x v="0"/>
    <s v="Masingi"/>
    <x v="0"/>
    <x v="9"/>
    <x v="3"/>
  </r>
  <r>
    <s v="user1768292748.81"/>
    <x v="0"/>
    <x v="0"/>
    <s v="Masingi"/>
    <x v="0"/>
    <x v="1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DEFB5-628C-4B85-B516-46EEE516867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7" firstHeaderRow="1" firstDataRow="2" firstDataCol="1" rowPageCount="1" colPageCount="1"/>
  <pivotFields count="7">
    <pivotField showAll="0"/>
    <pivotField showAll="0">
      <items count="11">
        <item x="1"/>
        <item x="6"/>
        <item x="3"/>
        <item x="8"/>
        <item x="4"/>
        <item x="2"/>
        <item x="7"/>
        <item x="5"/>
        <item x="0"/>
        <item x="9"/>
        <item t="default"/>
      </items>
    </pivotField>
    <pivotField axis="axisRow" dataField="1" showAll="0">
      <items count="11">
        <item x="1"/>
        <item x="6"/>
        <item x="3"/>
        <item x="8"/>
        <item x="2"/>
        <item x="7"/>
        <item x="5"/>
        <item x="4"/>
        <item x="0"/>
        <item x="9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axis="axisPage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1">
        <item x="1"/>
        <item x="0"/>
        <item x="9"/>
        <item x="4"/>
        <item x="3"/>
        <item x="2"/>
        <item x="7"/>
        <item x="5"/>
        <item x="8"/>
        <item x="6"/>
        <item t="default"/>
      </items>
    </pivotField>
  </pivotFields>
  <rowFields count="2">
    <field x="6"/>
    <field x="2"/>
  </rowFields>
  <rowItems count="23">
    <i>
      <x/>
    </i>
    <i r="1">
      <x/>
    </i>
    <i r="1">
      <x v="5"/>
    </i>
    <i>
      <x v="1"/>
    </i>
    <i r="1">
      <x v="8"/>
    </i>
    <i>
      <x v="2"/>
    </i>
    <i r="1">
      <x v="8"/>
    </i>
    <i>
      <x v="3"/>
    </i>
    <i r="1">
      <x v="7"/>
    </i>
    <i>
      <x v="4"/>
    </i>
    <i r="1">
      <x v="2"/>
    </i>
    <i r="1">
      <x v="8"/>
    </i>
    <i>
      <x v="5"/>
    </i>
    <i r="1">
      <x v="4"/>
    </i>
    <i>
      <x v="6"/>
    </i>
    <i r="1">
      <x v="3"/>
    </i>
    <i>
      <x v="7"/>
    </i>
    <i r="1">
      <x v="6"/>
    </i>
    <i>
      <x v="8"/>
    </i>
    <i r="1">
      <x v="9"/>
    </i>
    <i>
      <x v="9"/>
    </i>
    <i r="1"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5" hier="-1"/>
  </pageFields>
  <dataFields count="1">
    <dataField name="Count of First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933B-B893-4CE5-A621-428F3F3A4BB3}">
  <dimension ref="A1:H13"/>
  <sheetViews>
    <sheetView workbookViewId="0">
      <selection activeCell="F13" sqref="F13"/>
    </sheetView>
  </sheetViews>
  <sheetFormatPr defaultRowHeight="15" x14ac:dyDescent="0.25"/>
  <cols>
    <col min="1" max="1" width="21.85546875" bestFit="1" customWidth="1"/>
    <col min="2" max="2" width="38.7109375" bestFit="1" customWidth="1"/>
    <col min="3" max="3" width="14.140625" bestFit="1" customWidth="1"/>
    <col min="4" max="4" width="12.28515625" bestFit="1" customWidth="1"/>
    <col min="5" max="5" width="20.140625" bestFit="1" customWidth="1"/>
    <col min="6" max="6" width="19.85546875" bestFit="1" customWidth="1"/>
    <col min="7" max="7" width="34.7109375" bestFit="1" customWidth="1"/>
    <col min="8" max="8" width="47.85546875" bestFit="1" customWidth="1"/>
  </cols>
  <sheetData>
    <row r="1" spans="1:8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77</v>
      </c>
      <c r="F1" s="2" t="s">
        <v>66</v>
      </c>
      <c r="G1" s="2" t="s">
        <v>67</v>
      </c>
      <c r="H1" s="2" t="s">
        <v>68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tr">
        <f>_xlfn.CONCAT(C2:D2)</f>
        <v>VictorMasingi</v>
      </c>
      <c r="F2" s="1" t="s">
        <v>4</v>
      </c>
      <c r="G2" s="1" t="s">
        <v>5</v>
      </c>
      <c r="H2" s="1" t="s">
        <v>69</v>
      </c>
    </row>
    <row r="3" spans="1:8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tr">
        <f t="shared" ref="E3:E13" si="0">_xlfn.CONCAT(C3:D3)</f>
        <v>AngieSekhele</v>
      </c>
      <c r="F3" s="1" t="s">
        <v>11</v>
      </c>
      <c r="G3" s="1" t="s">
        <v>6</v>
      </c>
      <c r="H3" s="1" t="s">
        <v>70</v>
      </c>
    </row>
    <row r="4" spans="1:8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tr">
        <f t="shared" si="0"/>
        <v>JessicaSpires</v>
      </c>
      <c r="F4" s="1" t="s">
        <v>11</v>
      </c>
      <c r="G4" s="1" t="s">
        <v>18</v>
      </c>
      <c r="H4" s="1" t="s">
        <v>19</v>
      </c>
    </row>
    <row r="5" spans="1:8" x14ac:dyDescent="0.25">
      <c r="A5" s="1" t="s">
        <v>21</v>
      </c>
      <c r="B5" s="1" t="s">
        <v>22</v>
      </c>
      <c r="C5" s="1" t="s">
        <v>23</v>
      </c>
      <c r="D5" s="1" t="s">
        <v>24</v>
      </c>
      <c r="E5" s="1" t="str">
        <f t="shared" si="0"/>
        <v>ChaneHeslop</v>
      </c>
      <c r="F5" s="1" t="s">
        <v>11</v>
      </c>
      <c r="G5" s="1" t="s">
        <v>25</v>
      </c>
      <c r="H5" s="1" t="s">
        <v>26</v>
      </c>
    </row>
    <row r="6" spans="1:8" x14ac:dyDescent="0.25">
      <c r="A6" s="1" t="s">
        <v>27</v>
      </c>
      <c r="B6" s="1" t="s">
        <v>28</v>
      </c>
      <c r="C6" s="1" t="s">
        <v>71</v>
      </c>
      <c r="D6" s="1" t="s">
        <v>11</v>
      </c>
      <c r="E6" s="1" t="str">
        <f t="shared" si="0"/>
        <v>ShandreTeacher</v>
      </c>
      <c r="F6" s="1" t="s">
        <v>11</v>
      </c>
      <c r="G6" s="1" t="s">
        <v>25</v>
      </c>
      <c r="H6" s="1" t="s">
        <v>20</v>
      </c>
    </row>
    <row r="7" spans="1:8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tr">
        <f t="shared" si="0"/>
        <v>MartinCoetsee</v>
      </c>
      <c r="F7" s="1" t="s">
        <v>4</v>
      </c>
      <c r="G7" s="1" t="s">
        <v>33</v>
      </c>
      <c r="H7" s="1" t="s">
        <v>34</v>
      </c>
    </row>
    <row r="8" spans="1:8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tr">
        <f t="shared" si="0"/>
        <v>CarienVan der Walt</v>
      </c>
      <c r="F8" s="1" t="s">
        <v>12</v>
      </c>
      <c r="G8" s="1" t="s">
        <v>39</v>
      </c>
      <c r="H8" s="1" t="s">
        <v>13</v>
      </c>
    </row>
    <row r="9" spans="1:8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tr">
        <f t="shared" si="0"/>
        <v>LitebohoMoshoeshoe</v>
      </c>
      <c r="F9" s="1" t="s">
        <v>11</v>
      </c>
      <c r="G9" s="1" t="s">
        <v>44</v>
      </c>
      <c r="H9" s="1" t="s">
        <v>70</v>
      </c>
    </row>
    <row r="10" spans="1:8" x14ac:dyDescent="0.25">
      <c r="A10" s="1" t="s">
        <v>45</v>
      </c>
      <c r="B10" s="1" t="s">
        <v>46</v>
      </c>
      <c r="C10" s="1" t="s">
        <v>47</v>
      </c>
      <c r="D10" s="1" t="s">
        <v>48</v>
      </c>
      <c r="E10" s="1" t="str">
        <f t="shared" si="0"/>
        <v>JanikaVermeulen</v>
      </c>
      <c r="F10" s="1" t="s">
        <v>4</v>
      </c>
      <c r="G10" s="1" t="s">
        <v>49</v>
      </c>
      <c r="H10" s="1" t="s">
        <v>50</v>
      </c>
    </row>
    <row r="11" spans="1:8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tr">
        <f t="shared" si="0"/>
        <v>ZainabDavids</v>
      </c>
      <c r="F11" s="1" t="s">
        <v>11</v>
      </c>
      <c r="G11" s="1" t="s">
        <v>55</v>
      </c>
      <c r="H11" s="1" t="s">
        <v>56</v>
      </c>
    </row>
    <row r="12" spans="1:8" x14ac:dyDescent="0.25">
      <c r="A12" s="1" t="s">
        <v>57</v>
      </c>
      <c r="B12" s="1" t="s">
        <v>1</v>
      </c>
      <c r="C12" s="1" t="s">
        <v>2</v>
      </c>
      <c r="D12" s="1" t="s">
        <v>3</v>
      </c>
      <c r="E12" s="1" t="str">
        <f t="shared" si="0"/>
        <v>VictorMasingi</v>
      </c>
      <c r="F12" s="1" t="s">
        <v>4</v>
      </c>
      <c r="G12" s="1" t="s">
        <v>58</v>
      </c>
      <c r="H12" s="1" t="s">
        <v>26</v>
      </c>
    </row>
    <row r="13" spans="1:8" x14ac:dyDescent="0.25">
      <c r="A13" s="1" t="s">
        <v>59</v>
      </c>
      <c r="B13" s="1" t="s">
        <v>1</v>
      </c>
      <c r="C13" s="1" t="s">
        <v>2</v>
      </c>
      <c r="D13" s="1" t="s">
        <v>3</v>
      </c>
      <c r="E13" s="1" t="str">
        <f t="shared" si="0"/>
        <v>VictorMasingi</v>
      </c>
      <c r="F13" s="1" t="s">
        <v>4</v>
      </c>
      <c r="G13" s="1" t="s">
        <v>60</v>
      </c>
      <c r="H13" s="1" t="s">
        <v>61</v>
      </c>
    </row>
  </sheetData>
  <autoFilter ref="A1:H1" xr:uid="{F028933B-B893-4CE5-A621-428F3F3A4BB3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B46E-096E-40D3-A900-89AAD763EF8B}">
  <dimension ref="A1:E27"/>
  <sheetViews>
    <sheetView tabSelected="1" topLeftCell="A7" workbookViewId="0"/>
  </sheetViews>
  <sheetFormatPr defaultRowHeight="15" x14ac:dyDescent="0.25"/>
  <cols>
    <col min="1" max="1" width="32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67</v>
      </c>
      <c r="B1" t="s">
        <v>72</v>
      </c>
    </row>
    <row r="3" spans="1:5" x14ac:dyDescent="0.25">
      <c r="A3" s="3" t="s">
        <v>76</v>
      </c>
      <c r="B3" s="3" t="s">
        <v>73</v>
      </c>
    </row>
    <row r="4" spans="1:5" x14ac:dyDescent="0.25">
      <c r="A4" s="3" t="s">
        <v>75</v>
      </c>
      <c r="B4" t="s">
        <v>12</v>
      </c>
      <c r="C4" t="s">
        <v>4</v>
      </c>
      <c r="D4" t="s">
        <v>11</v>
      </c>
      <c r="E4" t="s">
        <v>74</v>
      </c>
    </row>
    <row r="5" spans="1:5" x14ac:dyDescent="0.25">
      <c r="A5" s="4" t="s">
        <v>70</v>
      </c>
      <c r="B5" s="6"/>
      <c r="C5" s="6"/>
      <c r="D5" s="6">
        <v>2</v>
      </c>
      <c r="E5" s="6">
        <v>2</v>
      </c>
    </row>
    <row r="6" spans="1:5" x14ac:dyDescent="0.25">
      <c r="A6" s="5" t="s">
        <v>9</v>
      </c>
      <c r="B6" s="6"/>
      <c r="C6" s="6"/>
      <c r="D6" s="6">
        <v>1</v>
      </c>
      <c r="E6" s="6">
        <v>1</v>
      </c>
    </row>
    <row r="7" spans="1:5" x14ac:dyDescent="0.25">
      <c r="A7" s="5" t="s">
        <v>42</v>
      </c>
      <c r="B7" s="6"/>
      <c r="C7" s="6"/>
      <c r="D7" s="6">
        <v>1</v>
      </c>
      <c r="E7" s="6">
        <v>1</v>
      </c>
    </row>
    <row r="8" spans="1:5" x14ac:dyDescent="0.25">
      <c r="A8" s="4" t="s">
        <v>69</v>
      </c>
      <c r="B8" s="6"/>
      <c r="C8" s="6">
        <v>1</v>
      </c>
      <c r="D8" s="6"/>
      <c r="E8" s="6">
        <v>1</v>
      </c>
    </row>
    <row r="9" spans="1:5" x14ac:dyDescent="0.25">
      <c r="A9" s="5" t="s">
        <v>2</v>
      </c>
      <c r="B9" s="6"/>
      <c r="C9" s="6">
        <v>1</v>
      </c>
      <c r="D9" s="6"/>
      <c r="E9" s="6">
        <v>1</v>
      </c>
    </row>
    <row r="10" spans="1:5" x14ac:dyDescent="0.25">
      <c r="A10" s="4" t="s">
        <v>61</v>
      </c>
      <c r="B10" s="6"/>
      <c r="C10" s="6">
        <v>1</v>
      </c>
      <c r="D10" s="6"/>
      <c r="E10" s="6">
        <v>1</v>
      </c>
    </row>
    <row r="11" spans="1:5" x14ac:dyDescent="0.25">
      <c r="A11" s="5" t="s">
        <v>2</v>
      </c>
      <c r="B11" s="6"/>
      <c r="C11" s="6">
        <v>1</v>
      </c>
      <c r="D11" s="6"/>
      <c r="E11" s="6">
        <v>1</v>
      </c>
    </row>
    <row r="12" spans="1:5" x14ac:dyDescent="0.25">
      <c r="A12" s="4" t="s">
        <v>20</v>
      </c>
      <c r="B12" s="6"/>
      <c r="C12" s="6"/>
      <c r="D12" s="6">
        <v>1</v>
      </c>
      <c r="E12" s="6">
        <v>1</v>
      </c>
    </row>
    <row r="13" spans="1:5" x14ac:dyDescent="0.25">
      <c r="A13" s="5" t="s">
        <v>71</v>
      </c>
      <c r="B13" s="6"/>
      <c r="C13" s="6"/>
      <c r="D13" s="6">
        <v>1</v>
      </c>
      <c r="E13" s="6">
        <v>1</v>
      </c>
    </row>
    <row r="14" spans="1:5" x14ac:dyDescent="0.25">
      <c r="A14" s="4" t="s">
        <v>26</v>
      </c>
      <c r="B14" s="6"/>
      <c r="C14" s="6">
        <v>1</v>
      </c>
      <c r="D14" s="6">
        <v>1</v>
      </c>
      <c r="E14" s="6">
        <v>2</v>
      </c>
    </row>
    <row r="15" spans="1:5" x14ac:dyDescent="0.25">
      <c r="A15" s="5" t="s">
        <v>23</v>
      </c>
      <c r="B15" s="6"/>
      <c r="C15" s="6"/>
      <c r="D15" s="6">
        <v>1</v>
      </c>
      <c r="E15" s="6">
        <v>1</v>
      </c>
    </row>
    <row r="16" spans="1:5" x14ac:dyDescent="0.25">
      <c r="A16" s="5" t="s">
        <v>2</v>
      </c>
      <c r="B16" s="6"/>
      <c r="C16" s="6">
        <v>1</v>
      </c>
      <c r="D16" s="6"/>
      <c r="E16" s="6">
        <v>1</v>
      </c>
    </row>
    <row r="17" spans="1:5" x14ac:dyDescent="0.25">
      <c r="A17" s="4" t="s">
        <v>19</v>
      </c>
      <c r="B17" s="6"/>
      <c r="C17" s="6"/>
      <c r="D17" s="6">
        <v>1</v>
      </c>
      <c r="E17" s="6">
        <v>1</v>
      </c>
    </row>
    <row r="18" spans="1:5" x14ac:dyDescent="0.25">
      <c r="A18" s="5" t="s">
        <v>16</v>
      </c>
      <c r="B18" s="6"/>
      <c r="C18" s="6"/>
      <c r="D18" s="6">
        <v>1</v>
      </c>
      <c r="E18" s="6">
        <v>1</v>
      </c>
    </row>
    <row r="19" spans="1:5" x14ac:dyDescent="0.25">
      <c r="A19" s="4" t="s">
        <v>50</v>
      </c>
      <c r="B19" s="6"/>
      <c r="C19" s="6">
        <v>1</v>
      </c>
      <c r="D19" s="6"/>
      <c r="E19" s="6">
        <v>1</v>
      </c>
    </row>
    <row r="20" spans="1:5" x14ac:dyDescent="0.25">
      <c r="A20" s="5" t="s">
        <v>47</v>
      </c>
      <c r="B20" s="6"/>
      <c r="C20" s="6">
        <v>1</v>
      </c>
      <c r="D20" s="6"/>
      <c r="E20" s="6">
        <v>1</v>
      </c>
    </row>
    <row r="21" spans="1:5" x14ac:dyDescent="0.25">
      <c r="A21" s="4" t="s">
        <v>34</v>
      </c>
      <c r="B21" s="6"/>
      <c r="C21" s="6">
        <v>1</v>
      </c>
      <c r="D21" s="6"/>
      <c r="E21" s="6">
        <v>1</v>
      </c>
    </row>
    <row r="22" spans="1:5" x14ac:dyDescent="0.25">
      <c r="A22" s="5" t="s">
        <v>31</v>
      </c>
      <c r="B22" s="6"/>
      <c r="C22" s="6">
        <v>1</v>
      </c>
      <c r="D22" s="6"/>
      <c r="E22" s="6">
        <v>1</v>
      </c>
    </row>
    <row r="23" spans="1:5" x14ac:dyDescent="0.25">
      <c r="A23" s="4" t="s">
        <v>56</v>
      </c>
      <c r="B23" s="6"/>
      <c r="C23" s="6"/>
      <c r="D23" s="6">
        <v>1</v>
      </c>
      <c r="E23" s="6">
        <v>1</v>
      </c>
    </row>
    <row r="24" spans="1:5" x14ac:dyDescent="0.25">
      <c r="A24" s="5" t="s">
        <v>53</v>
      </c>
      <c r="B24" s="6"/>
      <c r="C24" s="6"/>
      <c r="D24" s="6">
        <v>1</v>
      </c>
      <c r="E24" s="6">
        <v>1</v>
      </c>
    </row>
    <row r="25" spans="1:5" x14ac:dyDescent="0.25">
      <c r="A25" s="4" t="s">
        <v>13</v>
      </c>
      <c r="B25" s="6">
        <v>1</v>
      </c>
      <c r="C25" s="6"/>
      <c r="D25" s="6"/>
      <c r="E25" s="6">
        <v>1</v>
      </c>
    </row>
    <row r="26" spans="1:5" x14ac:dyDescent="0.25">
      <c r="A26" s="5" t="s">
        <v>37</v>
      </c>
      <c r="B26" s="6">
        <v>1</v>
      </c>
      <c r="C26" s="6"/>
      <c r="D26" s="6"/>
      <c r="E26" s="6">
        <v>1</v>
      </c>
    </row>
    <row r="27" spans="1:5" x14ac:dyDescent="0.25">
      <c r="A27" s="4" t="s">
        <v>74</v>
      </c>
      <c r="B27" s="6">
        <v>1</v>
      </c>
      <c r="C27" s="6">
        <v>5</v>
      </c>
      <c r="D27" s="6">
        <v>6</v>
      </c>
      <c r="E27" s="6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A22EA7-2938-45C8-A53A-950959678ECA}"/>
</file>

<file path=customXml/itemProps2.xml><?xml version="1.0" encoding="utf-8"?>
<ds:datastoreItem xmlns:ds="http://schemas.openxmlformats.org/officeDocument/2006/customXml" ds:itemID="{34E9B99C-B961-40F8-8C9F-50C6B0C87C45}"/>
</file>

<file path=customXml/itemProps3.xml><?xml version="1.0" encoding="utf-8"?>
<ds:datastoreItem xmlns:ds="http://schemas.openxmlformats.org/officeDocument/2006/customXml" ds:itemID="{B5569BFC-7260-48BC-90E8-1F06ACC2B35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2026-02-16T14:06:38Z</dcterms:created>
  <dcterms:modified xsi:type="dcterms:W3CDTF">2026-02-16T14:12:21Z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