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34C984E6-AAD8-4B3B-89CD-0F38EBFB7DAF}" xr6:coauthVersionLast="47" xr6:coauthVersionMax="47" xr10:uidLastSave="{00000000-0000-0000-0000-000000000000}"/>
  <bookViews>
    <workbookView xWindow="-120" yWindow="-120" windowWidth="29040" windowHeight="15720" xr2:uid="{CBE70D45-E61A-4101-BDE7-328E2216750B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2" i="1"/>
</calcChain>
</file>

<file path=xl/sharedStrings.xml><?xml version="1.0" encoding="utf-8"?>
<sst xmlns="http://schemas.openxmlformats.org/spreadsheetml/2006/main" count="122" uniqueCount="82">
  <si>
    <t>The Ear Academy</t>
  </si>
  <si>
    <t>user1774955528.667</t>
  </si>
  <si>
    <t>amy.miles@generationschools.co.za</t>
  </si>
  <si>
    <t>Amy</t>
  </si>
  <si>
    <t>Druce</t>
  </si>
  <si>
    <t>Teacher</t>
  </si>
  <si>
    <t>Wednesday, 29 April 2026 at 13:55</t>
  </si>
  <si>
    <t>user1777013749.0661</t>
  </si>
  <si>
    <t>lee@bayprimary.co.za</t>
  </si>
  <si>
    <t>Lee</t>
  </si>
  <si>
    <t>Klein</t>
  </si>
  <si>
    <t>Wednesday, 29 April 2026 at 13:50</t>
  </si>
  <si>
    <t>Bay Primary</t>
  </si>
  <si>
    <t>Participant</t>
  </si>
  <si>
    <t>user1757317389.7527</t>
  </si>
  <si>
    <t>kmailula@cbcpretoria.co.za</t>
  </si>
  <si>
    <t>Kgaogelo Mailula</t>
  </si>
  <si>
    <t>Mailula</t>
  </si>
  <si>
    <t>School Administrator</t>
  </si>
  <si>
    <t>Wednesday, 29 April 2026 at 12:28</t>
  </si>
  <si>
    <t>CBC Mount Edmund</t>
  </si>
  <si>
    <t>uservanessaw</t>
  </si>
  <si>
    <t>vanessa.willeman@wcgschools.gov.za</t>
  </si>
  <si>
    <t>Vanessa</t>
  </si>
  <si>
    <t>Willeman</t>
  </si>
  <si>
    <t>Wednesday, 29 April 2026 at 10:58</t>
  </si>
  <si>
    <t>Welwitschia - C5</t>
  </si>
  <si>
    <t>user1777452887.473</t>
  </si>
  <si>
    <t>shanterossouw@koaacademy.com</t>
  </si>
  <si>
    <t>Shante</t>
  </si>
  <si>
    <t>Rossouw</t>
  </si>
  <si>
    <t>Wednesday, 29 April 2026 at 10:57</t>
  </si>
  <si>
    <t>Koa Academy</t>
  </si>
  <si>
    <t>user1771319370.152</t>
  </si>
  <si>
    <t>debbie@koaacademy.com</t>
  </si>
  <si>
    <t>Debbie</t>
  </si>
  <si>
    <t>Fanti</t>
  </si>
  <si>
    <t>Wednesday, 29 April 2026 at 10:54</t>
  </si>
  <si>
    <t>user1773644606.7309</t>
  </si>
  <si>
    <t>kmailula@gmail.com</t>
  </si>
  <si>
    <t>Phela Re Phele</t>
  </si>
  <si>
    <t>Music Academy</t>
  </si>
  <si>
    <t>Wednesday, 29 April 2026 at 09:56</t>
  </si>
  <si>
    <t>user1760945966.0881</t>
  </si>
  <si>
    <t>art@bayprimary.co.za</t>
  </si>
  <si>
    <t>Megan</t>
  </si>
  <si>
    <t>Black</t>
  </si>
  <si>
    <t>Wednesday, 29 April 2026 at 08:24</t>
  </si>
  <si>
    <t>user1759926404.3845</t>
  </si>
  <si>
    <t>martincoetsee00@gmail.com</t>
  </si>
  <si>
    <t>Martin</t>
  </si>
  <si>
    <t>Coetsee</t>
  </si>
  <si>
    <t>Wednesday, 29 April 2026 at 08:22</t>
  </si>
  <si>
    <t>Kammaland Primary School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</si>
  <si>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</si>
  <si>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</si>
  <si>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</si>
  <si>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</si>
  <si>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</si>
  <si>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</si>
  <si>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</si>
  <si>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</si>
  <si>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</si>
  <si>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Demo</t>
  </si>
  <si>
    <t>Classroom</t>
  </si>
  <si>
    <t>Instrumental</t>
  </si>
  <si>
    <t xml:space="preserve">Paying </t>
  </si>
  <si>
    <t>Full Name</t>
  </si>
  <si>
    <t>Row Labels</t>
  </si>
  <si>
    <t>Grand Total</t>
  </si>
  <si>
    <t>(All)</t>
  </si>
  <si>
    <t>Column Labels</t>
  </si>
  <si>
    <t>LeeKlein</t>
  </si>
  <si>
    <t>MeganBlack</t>
  </si>
  <si>
    <t>Kgaogelo MailulaMailula</t>
  </si>
  <si>
    <t>Phela Re PheleMusic Academy</t>
  </si>
  <si>
    <t>MartinCoetsee</t>
  </si>
  <si>
    <t>DebbieFanti</t>
  </si>
  <si>
    <t>ShanteRossouw</t>
  </si>
  <si>
    <t>AmyDruce</t>
  </si>
  <si>
    <t>VanessaWilleman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</si>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</sst>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41.637425578701" createdVersion="8" refreshedVersion="8" minRefreshableVersion="3" recordCount="9" xr:uid="{7BDD399D-C788-49E4-B3D2-70525F32153A}">
  <cacheSource type="worksheet">
    <worksheetSource ref="A1:J10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9">
        <s v="AmyDruce"/>
        <s v="LeeKlein"/>
        <s v="Kgaogelo MailulaMailula"/>
        <s v="VanessaWilleman"/>
        <s v="ShanteRossouw"/>
        <s v="DebbieFanti"/>
        <s v="Phela Re PheleMusic Academy"/>
        <s v="MeganBlack"/>
        <s v="MartinCoetsee"/>
      </sharedItems>
    </cacheField>
    <cacheField name="UserRoles" numFmtId="0">
      <sharedItems count="3">
        <s v="Teacher"/>
        <s v="School Administrator"/>
        <s v="Participant"/>
      </sharedItems>
    </cacheField>
    <cacheField name="Date &amp; Time" numFmtId="0">
      <sharedItems count="9">
        <s v="Wednesday, 29 April 2026 at 13:55"/>
        <s v="Wednesday, 29 April 2026 at 13:50"/>
        <s v="Wednesday, 29 April 2026 at 12:28"/>
        <s v="Wednesday, 29 April 2026 at 10:58"/>
        <s v="Wednesday, 29 April 2026 at 10:57"/>
        <s v="Wednesday, 29 April 2026 at 10:54"/>
        <s v="Wednesday, 29 April 2026 at 09:56"/>
        <s v="Wednesday, 29 April 2026 at 08:24"/>
        <s v="Wednesday, 29 April 2026 at 08:22"/>
      </sharedItems>
    </cacheField>
    <cacheField name="School Name" numFmtId="0">
      <sharedItems count="6">
        <s v="The Ear Academy"/>
        <s v="Bay Primary"/>
        <s v="CBC Mount Edmund"/>
        <s v="Welwitschia - C5"/>
        <s v="Koa Academy"/>
        <s v="Kammaland Primary School"/>
      </sharedItems>
    </cacheField>
    <cacheField name="Product Type" numFmtId="0">
      <sharedItems count="2">
        <s v="Classroom"/>
        <s v="Instrumental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user1774955528.667"/>
    <s v="amy.miles@generationschools.co.za"/>
    <s v="Amy"/>
    <s v="Druce"/>
    <x v="0"/>
    <x v="0"/>
    <x v="0"/>
    <x v="0"/>
    <x v="0"/>
    <s v="Demo"/>
  </r>
  <r>
    <s v="user1777013749.0661"/>
    <s v="lee@bayprimary.co.za"/>
    <s v="Lee"/>
    <s v="Klein"/>
    <x v="1"/>
    <x v="0"/>
    <x v="1"/>
    <x v="1"/>
    <x v="0"/>
    <s v="Paying "/>
  </r>
  <r>
    <s v="user1757317389.7527"/>
    <s v="kmailula@cbcpretoria.co.za"/>
    <s v="Kgaogelo Mailula"/>
    <s v="Mailula"/>
    <x v="2"/>
    <x v="1"/>
    <x v="2"/>
    <x v="2"/>
    <x v="0"/>
    <s v="Paying "/>
  </r>
  <r>
    <s v="uservanessaw"/>
    <s v="vanessa.willeman@wcgschools.gov.za"/>
    <s v="Vanessa"/>
    <s v="Willeman"/>
    <x v="3"/>
    <x v="0"/>
    <x v="3"/>
    <x v="3"/>
    <x v="0"/>
    <s v="Paying "/>
  </r>
  <r>
    <s v="user1777452887.473"/>
    <s v="shanterossouw@koaacademy.com"/>
    <s v="Shante"/>
    <s v="Rossouw"/>
    <x v="4"/>
    <x v="2"/>
    <x v="4"/>
    <x v="4"/>
    <x v="1"/>
    <s v="Paying "/>
  </r>
  <r>
    <s v="user1771319370.152"/>
    <s v="debbie@koaacademy.com"/>
    <s v="Debbie"/>
    <s v="Fanti"/>
    <x v="5"/>
    <x v="1"/>
    <x v="5"/>
    <x v="4"/>
    <x v="1"/>
    <s v="Paying "/>
  </r>
  <r>
    <s v="user1773644606.7309"/>
    <s v="kmailula@gmail.com"/>
    <s v="Phela Re Phele"/>
    <s v="Music Academy"/>
    <x v="6"/>
    <x v="2"/>
    <x v="6"/>
    <x v="2"/>
    <x v="0"/>
    <s v="Paying "/>
  </r>
  <r>
    <s v="user1760945966.0881"/>
    <s v="art@bayprimary.co.za"/>
    <s v="Megan"/>
    <s v="Black"/>
    <x v="7"/>
    <x v="1"/>
    <x v="7"/>
    <x v="1"/>
    <x v="0"/>
    <s v="Paying "/>
  </r>
  <r>
    <s v="user1759926404.3845"/>
    <s v="martincoetsee00@gmail.com"/>
    <s v="Martin"/>
    <s v="Coetsee"/>
    <x v="8"/>
    <x v="1"/>
    <x v="8"/>
    <x v="5"/>
    <x v="0"/>
    <s v="Paying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91A396-7653-4286-B76A-5273AA83A9F4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6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10">
        <item x="0"/>
        <item x="5"/>
        <item x="2"/>
        <item x="1"/>
        <item x="8"/>
        <item x="7"/>
        <item x="6"/>
        <item x="4"/>
        <item x="3"/>
        <item t="default"/>
      </items>
    </pivotField>
    <pivotField axis="axisCol" showAll="0">
      <items count="4">
        <item x="2"/>
        <item x="1"/>
        <item x="0"/>
        <item t="default"/>
      </items>
    </pivotField>
    <pivotField axis="axisPage" showAll="0">
      <items count="10"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7">
        <item x="1"/>
        <item x="2"/>
        <item x="5"/>
        <item x="4"/>
        <item x="0"/>
        <item x="3"/>
        <item t="default"/>
      </items>
    </pivotField>
    <pivotField axis="axisRow" showAll="0">
      <items count="3">
        <item x="0"/>
        <item x="1"/>
        <item t="default"/>
      </items>
    </pivotField>
    <pivotField showAll="0"/>
  </pivotFields>
  <rowFields count="3">
    <field x="7"/>
    <field x="8"/>
    <field x="4"/>
  </rowFields>
  <rowItems count="22">
    <i>
      <x/>
    </i>
    <i r="1">
      <x/>
    </i>
    <i r="2">
      <x v="3"/>
    </i>
    <i r="2">
      <x v="5"/>
    </i>
    <i>
      <x v="1"/>
    </i>
    <i r="1">
      <x/>
    </i>
    <i r="2">
      <x v="2"/>
    </i>
    <i r="2">
      <x v="6"/>
    </i>
    <i>
      <x v="2"/>
    </i>
    <i r="1">
      <x/>
    </i>
    <i r="2">
      <x v="4"/>
    </i>
    <i>
      <x v="3"/>
    </i>
    <i r="1">
      <x v="1"/>
    </i>
    <i r="2">
      <x v="1"/>
    </i>
    <i r="2">
      <x v="7"/>
    </i>
    <i>
      <x v="4"/>
    </i>
    <i r="1">
      <x/>
    </i>
    <i r="2">
      <x/>
    </i>
    <i>
      <x v="5"/>
    </i>
    <i r="1">
      <x/>
    </i>
    <i r="2">
      <x v="8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6BDA4-B9DF-4D48-A77A-593446CB048A}">
  <dimension ref="A1:J10"/>
  <sheetViews>
    <sheetView tabSelected="1" workbookViewId="0">
      <selection activeCell="E8" sqref="E8"/>
    </sheetView>
  </sheetViews>
  <sheetFormatPr defaultRowHeight="15" x14ac:dyDescent="0.25"/>
  <cols>
    <col min="1" max="1" width="21.42578125" bestFit="1" customWidth="1"/>
    <col min="2" max="2" width="39.140625" bestFit="1" customWidth="1"/>
    <col min="3" max="3" width="16.42578125" bestFit="1" customWidth="1"/>
    <col min="4" max="4" width="14.85546875" bestFit="1" customWidth="1"/>
    <col min="5" max="5" width="32.28515625" customWidth="1"/>
    <col min="6" max="6" width="19.85546875" bestFit="1" customWidth="1"/>
    <col min="7" max="7" width="31" bestFit="1" customWidth="1"/>
    <col min="8" max="8" width="47.85546875" bestFit="1" customWidth="1"/>
    <col min="9" max="9" width="12.28515625" bestFit="1" customWidth="1"/>
    <col min="10" max="10" width="12.42578125" bestFit="1" customWidth="1"/>
  </cols>
  <sheetData>
    <row r="1" spans="1:10" x14ac:dyDescent="0.25">
      <c r="A1" s="2" t="s">
        <v>54</v>
      </c>
      <c r="B1" s="2" t="s">
        <v>55</v>
      </c>
      <c r="C1" s="2" t="s">
        <v>56</v>
      </c>
      <c r="D1" s="2" t="s">
        <v>57</v>
      </c>
      <c r="E1" s="2" t="s">
        <v>67</v>
      </c>
      <c r="F1" s="2" t="s">
        <v>58</v>
      </c>
      <c r="G1" s="2" t="s">
        <v>59</v>
      </c>
      <c r="H1" s="2" t="s">
        <v>60</v>
      </c>
      <c r="I1" s="2" t="s">
        <v>61</v>
      </c>
      <c r="J1" s="2" t="s">
        <v>62</v>
      </c>
    </row>
    <row r="2" spans="1:10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tr">
        <f>_xlfn.CONCAT(C2:D2)</f>
        <v>AmyDruce</v>
      </c>
      <c r="F2" s="1" t="s">
        <v>5</v>
      </c>
      <c r="G2" s="1" t="s">
        <v>6</v>
      </c>
      <c r="H2" s="1" t="s">
        <v>0</v>
      </c>
      <c r="I2" s="1" t="s">
        <v>64</v>
      </c>
      <c r="J2" s="1" t="s">
        <v>63</v>
      </c>
    </row>
    <row r="3" spans="1:10" x14ac:dyDescent="0.25">
      <c r="A3" s="1" t="s">
        <v>7</v>
      </c>
      <c r="B3" s="1" t="s">
        <v>8</v>
      </c>
      <c r="C3" s="1" t="s">
        <v>9</v>
      </c>
      <c r="D3" s="1" t="s">
        <v>10</v>
      </c>
      <c r="E3" s="1" t="str">
        <f t="shared" ref="E3:E10" si="0">_xlfn.CONCAT(C3:D3)</f>
        <v>LeeKlein</v>
      </c>
      <c r="F3" s="1" t="s">
        <v>5</v>
      </c>
      <c r="G3" s="1" t="s">
        <v>11</v>
      </c>
      <c r="H3" s="1" t="s">
        <v>12</v>
      </c>
      <c r="I3" s="1" t="s">
        <v>64</v>
      </c>
      <c r="J3" s="1" t="s">
        <v>66</v>
      </c>
    </row>
    <row r="4" spans="1:10" x14ac:dyDescent="0.25">
      <c r="A4" s="1" t="s">
        <v>14</v>
      </c>
      <c r="B4" s="1" t="s">
        <v>15</v>
      </c>
      <c r="C4" s="1" t="s">
        <v>16</v>
      </c>
      <c r="D4" s="1" t="s">
        <v>17</v>
      </c>
      <c r="E4" s="1" t="str">
        <f t="shared" si="0"/>
        <v>Kgaogelo MailulaMailula</v>
      </c>
      <c r="F4" s="1" t="s">
        <v>18</v>
      </c>
      <c r="G4" s="1" t="s">
        <v>19</v>
      </c>
      <c r="H4" s="1" t="s">
        <v>20</v>
      </c>
      <c r="I4" s="1" t="s">
        <v>64</v>
      </c>
      <c r="J4" s="1" t="s">
        <v>66</v>
      </c>
    </row>
    <row r="5" spans="1:10" x14ac:dyDescent="0.25">
      <c r="A5" s="1" t="s">
        <v>21</v>
      </c>
      <c r="B5" s="1" t="s">
        <v>22</v>
      </c>
      <c r="C5" s="1" t="s">
        <v>23</v>
      </c>
      <c r="D5" s="1" t="s">
        <v>24</v>
      </c>
      <c r="E5" s="1" t="str">
        <f t="shared" si="0"/>
        <v>VanessaWilleman</v>
      </c>
      <c r="F5" s="1" t="s">
        <v>5</v>
      </c>
      <c r="G5" s="1" t="s">
        <v>25</v>
      </c>
      <c r="H5" s="1" t="s">
        <v>26</v>
      </c>
      <c r="I5" s="1" t="s">
        <v>64</v>
      </c>
      <c r="J5" s="1" t="s">
        <v>66</v>
      </c>
    </row>
    <row r="6" spans="1:10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tr">
        <f t="shared" si="0"/>
        <v>ShanteRossouw</v>
      </c>
      <c r="F6" s="1" t="s">
        <v>13</v>
      </c>
      <c r="G6" s="1" t="s">
        <v>31</v>
      </c>
      <c r="H6" s="1" t="s">
        <v>32</v>
      </c>
      <c r="I6" s="1" t="s">
        <v>65</v>
      </c>
      <c r="J6" s="1" t="s">
        <v>66</v>
      </c>
    </row>
    <row r="7" spans="1:10" x14ac:dyDescent="0.25">
      <c r="A7" s="1" t="s">
        <v>33</v>
      </c>
      <c r="B7" s="1" t="s">
        <v>34</v>
      </c>
      <c r="C7" s="1" t="s">
        <v>35</v>
      </c>
      <c r="D7" s="1" t="s">
        <v>36</v>
      </c>
      <c r="E7" s="1" t="str">
        <f t="shared" si="0"/>
        <v>DebbieFanti</v>
      </c>
      <c r="F7" s="1" t="s">
        <v>18</v>
      </c>
      <c r="G7" s="1" t="s">
        <v>37</v>
      </c>
      <c r="H7" s="1" t="s">
        <v>32</v>
      </c>
      <c r="I7" s="1" t="s">
        <v>65</v>
      </c>
      <c r="J7" s="1" t="s">
        <v>66</v>
      </c>
    </row>
    <row r="8" spans="1:10" x14ac:dyDescent="0.25">
      <c r="A8" s="1" t="s">
        <v>38</v>
      </c>
      <c r="B8" s="1" t="s">
        <v>39</v>
      </c>
      <c r="C8" s="1" t="s">
        <v>40</v>
      </c>
      <c r="D8" s="1" t="s">
        <v>41</v>
      </c>
      <c r="E8" s="1" t="str">
        <f t="shared" si="0"/>
        <v>Phela Re PheleMusic Academy</v>
      </c>
      <c r="F8" s="1" t="s">
        <v>13</v>
      </c>
      <c r="G8" s="1" t="s">
        <v>42</v>
      </c>
      <c r="H8" s="1" t="s">
        <v>20</v>
      </c>
      <c r="I8" s="1" t="s">
        <v>64</v>
      </c>
      <c r="J8" s="1" t="s">
        <v>66</v>
      </c>
    </row>
    <row r="9" spans="1:10" x14ac:dyDescent="0.25">
      <c r="A9" s="1" t="s">
        <v>43</v>
      </c>
      <c r="B9" s="1" t="s">
        <v>44</v>
      </c>
      <c r="C9" s="1" t="s">
        <v>45</v>
      </c>
      <c r="D9" s="1" t="s">
        <v>46</v>
      </c>
      <c r="E9" s="1" t="str">
        <f t="shared" si="0"/>
        <v>MeganBlack</v>
      </c>
      <c r="F9" s="1" t="s">
        <v>18</v>
      </c>
      <c r="G9" s="1" t="s">
        <v>47</v>
      </c>
      <c r="H9" s="1" t="s">
        <v>12</v>
      </c>
      <c r="I9" s="1" t="s">
        <v>64</v>
      </c>
      <c r="J9" s="1" t="s">
        <v>66</v>
      </c>
    </row>
    <row r="10" spans="1:10" x14ac:dyDescent="0.25">
      <c r="A10" s="1" t="s">
        <v>48</v>
      </c>
      <c r="B10" s="1" t="s">
        <v>49</v>
      </c>
      <c r="C10" s="1" t="s">
        <v>50</v>
      </c>
      <c r="D10" s="1" t="s">
        <v>51</v>
      </c>
      <c r="E10" s="1" t="str">
        <f t="shared" si="0"/>
        <v>MartinCoetsee</v>
      </c>
      <c r="F10" s="1" t="s">
        <v>18</v>
      </c>
      <c r="G10" s="1" t="s">
        <v>52</v>
      </c>
      <c r="H10" s="1" t="s">
        <v>53</v>
      </c>
      <c r="I10" s="1" t="s">
        <v>64</v>
      </c>
      <c r="J10" s="1" t="s">
        <v>66</v>
      </c>
    </row>
  </sheetData>
  <autoFilter ref="A1:J1" xr:uid="{6C56BDA4-B9DF-4D48-A77A-593446CB048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8F648-BACA-4178-BD82-83807BF91E9D}">
  <dimension ref="A1:E26"/>
  <sheetViews>
    <sheetView workbookViewId="0">
      <selection activeCell="B30" sqref="B30"/>
    </sheetView>
  </sheetViews>
  <sheetFormatPr defaultRowHeight="15" x14ac:dyDescent="0.25"/>
  <cols>
    <col min="1" max="1" width="33.855468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59</v>
      </c>
      <c r="B1" t="s">
        <v>70</v>
      </c>
    </row>
    <row r="3" spans="1:5" x14ac:dyDescent="0.25">
      <c r="A3" s="3" t="s">
        <v>81</v>
      </c>
      <c r="B3" s="3" t="s">
        <v>71</v>
      </c>
    </row>
    <row r="4" spans="1:5" x14ac:dyDescent="0.25">
      <c r="A4" s="3" t="s">
        <v>68</v>
      </c>
      <c r="B4" t="s">
        <v>13</v>
      </c>
      <c r="C4" t="s">
        <v>18</v>
      </c>
      <c r="D4" t="s">
        <v>5</v>
      </c>
      <c r="E4" t="s">
        <v>69</v>
      </c>
    </row>
    <row r="5" spans="1:5" x14ac:dyDescent="0.25">
      <c r="A5" s="4" t="s">
        <v>12</v>
      </c>
      <c r="B5" s="7"/>
      <c r="C5" s="7">
        <v>1</v>
      </c>
      <c r="D5" s="7">
        <v>1</v>
      </c>
      <c r="E5" s="7">
        <v>2</v>
      </c>
    </row>
    <row r="6" spans="1:5" x14ac:dyDescent="0.25">
      <c r="A6" s="5" t="s">
        <v>64</v>
      </c>
      <c r="B6" s="7"/>
      <c r="C6" s="7">
        <v>1</v>
      </c>
      <c r="D6" s="7">
        <v>1</v>
      </c>
      <c r="E6" s="7">
        <v>2</v>
      </c>
    </row>
    <row r="7" spans="1:5" x14ac:dyDescent="0.25">
      <c r="A7" s="6" t="s">
        <v>72</v>
      </c>
      <c r="B7" s="7"/>
      <c r="C7" s="7"/>
      <c r="D7" s="7">
        <v>1</v>
      </c>
      <c r="E7" s="7">
        <v>1</v>
      </c>
    </row>
    <row r="8" spans="1:5" x14ac:dyDescent="0.25">
      <c r="A8" s="6" t="s">
        <v>73</v>
      </c>
      <c r="B8" s="7"/>
      <c r="C8" s="7">
        <v>1</v>
      </c>
      <c r="D8" s="7"/>
      <c r="E8" s="7">
        <v>1</v>
      </c>
    </row>
    <row r="9" spans="1:5" x14ac:dyDescent="0.25">
      <c r="A9" s="4" t="s">
        <v>20</v>
      </c>
      <c r="B9" s="7">
        <v>1</v>
      </c>
      <c r="C9" s="7">
        <v>1</v>
      </c>
      <c r="D9" s="7"/>
      <c r="E9" s="7">
        <v>2</v>
      </c>
    </row>
    <row r="10" spans="1:5" x14ac:dyDescent="0.25">
      <c r="A10" s="5" t="s">
        <v>64</v>
      </c>
      <c r="B10" s="7">
        <v>1</v>
      </c>
      <c r="C10" s="7">
        <v>1</v>
      </c>
      <c r="D10" s="7"/>
      <c r="E10" s="7">
        <v>2</v>
      </c>
    </row>
    <row r="11" spans="1:5" x14ac:dyDescent="0.25">
      <c r="A11" s="6" t="s">
        <v>74</v>
      </c>
      <c r="B11" s="7"/>
      <c r="C11" s="7">
        <v>1</v>
      </c>
      <c r="D11" s="7"/>
      <c r="E11" s="7">
        <v>1</v>
      </c>
    </row>
    <row r="12" spans="1:5" x14ac:dyDescent="0.25">
      <c r="A12" s="6" t="s">
        <v>75</v>
      </c>
      <c r="B12" s="7">
        <v>1</v>
      </c>
      <c r="C12" s="7"/>
      <c r="D12" s="7"/>
      <c r="E12" s="7">
        <v>1</v>
      </c>
    </row>
    <row r="13" spans="1:5" x14ac:dyDescent="0.25">
      <c r="A13" s="4" t="s">
        <v>53</v>
      </c>
      <c r="B13" s="7"/>
      <c r="C13" s="7">
        <v>1</v>
      </c>
      <c r="D13" s="7"/>
      <c r="E13" s="7">
        <v>1</v>
      </c>
    </row>
    <row r="14" spans="1:5" x14ac:dyDescent="0.25">
      <c r="A14" s="5" t="s">
        <v>64</v>
      </c>
      <c r="B14" s="7"/>
      <c r="C14" s="7">
        <v>1</v>
      </c>
      <c r="D14" s="7"/>
      <c r="E14" s="7">
        <v>1</v>
      </c>
    </row>
    <row r="15" spans="1:5" x14ac:dyDescent="0.25">
      <c r="A15" s="6" t="s">
        <v>76</v>
      </c>
      <c r="B15" s="7"/>
      <c r="C15" s="7">
        <v>1</v>
      </c>
      <c r="D15" s="7"/>
      <c r="E15" s="7">
        <v>1</v>
      </c>
    </row>
    <row r="16" spans="1:5" x14ac:dyDescent="0.25">
      <c r="A16" s="4" t="s">
        <v>32</v>
      </c>
      <c r="B16" s="7">
        <v>1</v>
      </c>
      <c r="C16" s="7">
        <v>1</v>
      </c>
      <c r="D16" s="7"/>
      <c r="E16" s="7">
        <v>2</v>
      </c>
    </row>
    <row r="17" spans="1:5" x14ac:dyDescent="0.25">
      <c r="A17" s="5" t="s">
        <v>65</v>
      </c>
      <c r="B17" s="7">
        <v>1</v>
      </c>
      <c r="C17" s="7">
        <v>1</v>
      </c>
      <c r="D17" s="7"/>
      <c r="E17" s="7">
        <v>2</v>
      </c>
    </row>
    <row r="18" spans="1:5" x14ac:dyDescent="0.25">
      <c r="A18" s="6" t="s">
        <v>77</v>
      </c>
      <c r="B18" s="7"/>
      <c r="C18" s="7">
        <v>1</v>
      </c>
      <c r="D18" s="7"/>
      <c r="E18" s="7">
        <v>1</v>
      </c>
    </row>
    <row r="19" spans="1:5" x14ac:dyDescent="0.25">
      <c r="A19" s="6" t="s">
        <v>78</v>
      </c>
      <c r="B19" s="7">
        <v>1</v>
      </c>
      <c r="C19" s="7"/>
      <c r="D19" s="7"/>
      <c r="E19" s="7">
        <v>1</v>
      </c>
    </row>
    <row r="20" spans="1:5" x14ac:dyDescent="0.25">
      <c r="A20" s="4" t="s">
        <v>0</v>
      </c>
      <c r="B20" s="7"/>
      <c r="C20" s="7"/>
      <c r="D20" s="7">
        <v>1</v>
      </c>
      <c r="E20" s="7">
        <v>1</v>
      </c>
    </row>
    <row r="21" spans="1:5" x14ac:dyDescent="0.25">
      <c r="A21" s="5" t="s">
        <v>64</v>
      </c>
      <c r="B21" s="7"/>
      <c r="C21" s="7"/>
      <c r="D21" s="7">
        <v>1</v>
      </c>
      <c r="E21" s="7">
        <v>1</v>
      </c>
    </row>
    <row r="22" spans="1:5" x14ac:dyDescent="0.25">
      <c r="A22" s="6" t="s">
        <v>79</v>
      </c>
      <c r="B22" s="7"/>
      <c r="C22" s="7"/>
      <c r="D22" s="7">
        <v>1</v>
      </c>
      <c r="E22" s="7">
        <v>1</v>
      </c>
    </row>
    <row r="23" spans="1:5" x14ac:dyDescent="0.25">
      <c r="A23" s="4" t="s">
        <v>26</v>
      </c>
      <c r="B23" s="7"/>
      <c r="C23" s="7"/>
      <c r="D23" s="7">
        <v>1</v>
      </c>
      <c r="E23" s="7">
        <v>1</v>
      </c>
    </row>
    <row r="24" spans="1:5" x14ac:dyDescent="0.25">
      <c r="A24" s="5" t="s">
        <v>64</v>
      </c>
      <c r="B24" s="7"/>
      <c r="C24" s="7"/>
      <c r="D24" s="7">
        <v>1</v>
      </c>
      <c r="E24" s="7">
        <v>1</v>
      </c>
    </row>
    <row r="25" spans="1:5" x14ac:dyDescent="0.25">
      <c r="A25" s="6" t="s">
        <v>80</v>
      </c>
      <c r="B25" s="7"/>
      <c r="C25" s="7"/>
      <c r="D25" s="7">
        <v>1</v>
      </c>
      <c r="E25" s="7">
        <v>1</v>
      </c>
    </row>
    <row r="26" spans="1:5" x14ac:dyDescent="0.25">
      <c r="A26" s="4" t="s">
        <v>69</v>
      </c>
      <c r="B26" s="7">
        <v>2</v>
      </c>
      <c r="C26" s="7">
        <v>4</v>
      </c>
      <c r="D26" s="7">
        <v>3</v>
      </c>
      <c r="E26" s="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2026-04-29T13:14:02Z</dcterms:created>
  <dcterms:modified xsi:type="dcterms:W3CDTF">2026-04-29T13:18:36Z</dcterms:modified>
</cp:coreProperties>
</file>