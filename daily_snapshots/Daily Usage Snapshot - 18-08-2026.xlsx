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CF08E7FB-1253-4087-B5D4-8647B139944C}" xr6:coauthVersionLast="47" xr6:coauthVersionMax="47" xr10:uidLastSave="{00000000-0000-0000-0000-000000000000}"/>
  <bookViews>
    <workbookView xWindow="-120" yWindow="-120" windowWidth="29040" windowHeight="15720" activeTab="1" xr2:uid="{EB548B74-62AC-4E02-97F7-FFA00FC7A315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<sst xmlns="http://schemas.openxmlformats.org/spreadsheetml/2006/main" count="194" uniqueCount="121">
  <si>
    <t>user1778228506.2529</t>
  </si>
  <si>
    <t>gjmatroos@gmail.com</t>
  </si>
  <si>
    <t>Gift</t>
  </si>
  <si>
    <t>School Administrator</t>
  </si>
  <si>
    <t>Tuesday, 18 August 2026 at 15:08</t>
  </si>
  <si>
    <t>Range High School</t>
  </si>
  <si>
    <t>WhitePeanut</t>
  </si>
  <si>
    <t>noahbarry@koaacademy.com</t>
  </si>
  <si>
    <t>Noah</t>
  </si>
  <si>
    <t>Barry</t>
  </si>
  <si>
    <t>Participant</t>
  </si>
  <si>
    <t>Tuesday, 18 August 2026 at 13:17</t>
  </si>
  <si>
    <t>Koa Academy</t>
  </si>
  <si>
    <t>user1771392319.4512</t>
  </si>
  <si>
    <t>samrandall@koaacademy.com</t>
  </si>
  <si>
    <t>Sam</t>
  </si>
  <si>
    <t>Randall</t>
  </si>
  <si>
    <t>Tuesday, 18 August 2026 at 12:31</t>
  </si>
  <si>
    <t>user1771392306.84</t>
  </si>
  <si>
    <t>michaelrandall@koaacademy.com</t>
  </si>
  <si>
    <t>Michael</t>
  </si>
  <si>
    <t>Tuesday, 18 August 2026 at 12:30</t>
  </si>
  <si>
    <t>user1760945966.0881</t>
  </si>
  <si>
    <t>art@bayprimary.co.za</t>
  </si>
  <si>
    <t>Megan</t>
  </si>
  <si>
    <t>Black</t>
  </si>
  <si>
    <t>Tuesday, 18 August 2026 at 12:24</t>
  </si>
  <si>
    <t>Bay Primary</t>
  </si>
  <si>
    <t>user1757925415.8532</t>
  </si>
  <si>
    <t>geeljanika875@gmail.com</t>
  </si>
  <si>
    <t>Janika</t>
  </si>
  <si>
    <t>Vermeulen</t>
  </si>
  <si>
    <t>Tuesday, 18 August 2026 at 12:01</t>
  </si>
  <si>
    <t>Harriston Primary School</t>
  </si>
  <si>
    <t>user1757327710.9386</t>
  </si>
  <si>
    <t>ilze.vanwyk@reddam.house</t>
  </si>
  <si>
    <t>Ilze</t>
  </si>
  <si>
    <t>van Wyk</t>
  </si>
  <si>
    <t>Tuesday, 18 August 2026 at 11:40</t>
  </si>
  <si>
    <t>Reddam House Helderfontein</t>
  </si>
  <si>
    <t>user1785833258.6155</t>
  </si>
  <si>
    <t>matthew.pienaar@phs.org.za</t>
  </si>
  <si>
    <t>Matthew</t>
  </si>
  <si>
    <t>Pienaar</t>
  </si>
  <si>
    <t>Tuesday, 18 August 2026 at 11:31</t>
  </si>
  <si>
    <t>Pinelands High School</t>
  </si>
  <si>
    <t>user1771392888.9325</t>
  </si>
  <si>
    <t>makatapedzisa@koaacademy.com</t>
  </si>
  <si>
    <t>Maka</t>
  </si>
  <si>
    <t>Tapedzisa</t>
  </si>
  <si>
    <t>Tuesday, 18 August 2026 at 07:56</t>
  </si>
  <si>
    <t>user1780041053.96</t>
  </si>
  <si>
    <t>siyabonga991709@gmail.com</t>
  </si>
  <si>
    <t>Siyabonga</t>
  </si>
  <si>
    <t>Motloung</t>
  </si>
  <si>
    <t>Teacher</t>
  </si>
  <si>
    <t>Monday, 17 August 2026 at 15:37</t>
  </si>
  <si>
    <t>Hermannsburg School</t>
  </si>
  <si>
    <t>Jude gietzmann</t>
  </si>
  <si>
    <t>judegietzmann@koaacademy.com</t>
  </si>
  <si>
    <t>Jude</t>
  </si>
  <si>
    <t>Gietzmann</t>
  </si>
  <si>
    <t>Monday, 17 August 2026 at 15:15</t>
  </si>
  <si>
    <t>user1786457800.3926</t>
  </si>
  <si>
    <t>lilikotelo@koaacademy.com</t>
  </si>
  <si>
    <t>Lilitha</t>
  </si>
  <si>
    <t>Kotelo</t>
  </si>
  <si>
    <t>Monday, 17 August 2026 at 13:01</t>
  </si>
  <si>
    <t>user1759233179.6581</t>
  </si>
  <si>
    <t>forgusk@stmartinprep.co.za</t>
  </si>
  <si>
    <t>Kim-lee</t>
  </si>
  <si>
    <t>Forgus</t>
  </si>
  <si>
    <t>Monday, 17 August 2026 at 12:37</t>
  </si>
  <si>
    <t>user1771392934.0799</t>
  </si>
  <si>
    <t>mattycolacostrange@koaacademy.com</t>
  </si>
  <si>
    <t>Matty</t>
  </si>
  <si>
    <t>Colaco Strange</t>
  </si>
  <si>
    <t>Monday, 17 August 2026 at 11:08</t>
  </si>
  <si>
    <t>user1768727256.5875</t>
  </si>
  <si>
    <t>chaneheslop@etham.co.za</t>
  </si>
  <si>
    <t>Chane</t>
  </si>
  <si>
    <t>Heslop</t>
  </si>
  <si>
    <t>Monday, 17 August 2026 at 10:59</t>
  </si>
  <si>
    <t>Etham College</t>
  </si>
  <si>
    <t>Username</t>
  </si>
  <si>
    <t>Email Address</t>
  </si>
  <si>
    <t>First Name</t>
  </si>
  <si>
    <t>Surname</t>
  </si>
  <si>
    <t>Date &amp; Time</t>
  </si>
  <si>
    <t>School Name</t>
  </si>
  <si>
    <t>St Martins Preparatory School</t>
  </si>
  <si>
    <t>Product Type</t>
  </si>
  <si>
    <t>Billing Status</t>
  </si>
  <si>
    <t>Classroom &amp; Instrumental</t>
  </si>
  <si>
    <t>Instrumental</t>
  </si>
  <si>
    <t>Classroom</t>
  </si>
  <si>
    <t>Paying</t>
  </si>
  <si>
    <t>UserRoles</t>
  </si>
  <si>
    <t>Full Name</t>
  </si>
  <si>
    <t>Matroos</t>
  </si>
  <si>
    <t>Row Labels</t>
  </si>
  <si>
    <t>(blank)</t>
  </si>
  <si>
    <t>Grand Total</t>
  </si>
  <si>
    <t>Column Labels</t>
  </si>
  <si>
    <t>(All)</t>
  </si>
  <si>
    <t>MeganBlack</t>
  </si>
  <si>
    <t>ChaneHeslop</t>
  </si>
  <si>
    <t>JanikaVermeulen</t>
  </si>
  <si>
    <t>SiyabongaMotloung</t>
  </si>
  <si>
    <t>JudeGietzmann</t>
  </si>
  <si>
    <t>LilithaKotelo</t>
  </si>
  <si>
    <t>MakaTapedzisa</t>
  </si>
  <si>
    <t>MattyColaco Strange</t>
  </si>
  <si>
    <t>MichaelRandall</t>
  </si>
  <si>
    <t>NoahBarry</t>
  </si>
  <si>
    <t>SamRandall</t>
  </si>
  <si>
    <t>MatthewPienaar</t>
  </si>
  <si>
    <t>GiftMatroos</t>
  </si>
  <si>
    <t>Ilzevan Wyk</t>
  </si>
  <si>
    <t>Kim-leeForgus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</si>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</sst>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52.664915393521" createdVersion="8" refreshedVersion="8" minRefreshableVersion="3" recordCount="16" xr:uid="{ACCC8939-653C-41CC-B77A-8A1A53F883EC}">
  <cacheSource type="worksheet">
    <worksheetSource ref="A1:J17" sheet="Raw Data"/>
  </cacheSource>
  <cacheFields count="10">
    <cacheField name="Username" numFmtId="0">
      <sharedItems containsBlank="1"/>
    </cacheField>
    <cacheField name="Email Address" numFmtId="0">
      <sharedItems containsBlank="1"/>
    </cacheField>
    <cacheField name="First Name" numFmtId="0">
      <sharedItems containsBlank="1"/>
    </cacheField>
    <cacheField name="Surname" numFmtId="0">
      <sharedItems containsBlank="1"/>
    </cacheField>
    <cacheField name="Full Name" numFmtId="0">
      <sharedItems containsBlank="1" count="16">
        <s v="GiftMatroos"/>
        <s v="NoahBarry"/>
        <s v="SamRandall"/>
        <s v="MichaelRandall"/>
        <s v="MeganBlack"/>
        <s v="JanikaVermeulen"/>
        <s v="Ilzevan Wyk"/>
        <s v="MatthewPienaar"/>
        <s v="MakaTapedzisa"/>
        <s v="SiyabongaMotloung"/>
        <s v="JudeGietzmann"/>
        <s v="LilithaKotelo"/>
        <s v="Kim-leeForgus"/>
        <s v="MattyColaco Strange"/>
        <s v="ChaneHeslop"/>
        <m/>
      </sharedItems>
    </cacheField>
    <cacheField name="UserRoles" numFmtId="0">
      <sharedItems containsBlank="1" count="4">
        <s v="School Administrator"/>
        <s v="Participant"/>
        <s v="Teacher"/>
        <m/>
      </sharedItems>
    </cacheField>
    <cacheField name="Date &amp; Time" numFmtId="0">
      <sharedItems containsBlank="1" count="16">
        <s v="Tuesday, 18 August 2026 at 15:08"/>
        <s v="Tuesday, 18 August 2026 at 13:17"/>
        <s v="Tuesday, 18 August 2026 at 12:31"/>
        <s v="Tuesday, 18 August 2026 at 12:30"/>
        <s v="Tuesday, 18 August 2026 at 12:24"/>
        <s v="Tuesday, 18 August 2026 at 12:01"/>
        <s v="Tuesday, 18 August 2026 at 11:40"/>
        <s v="Tuesday, 18 August 2026 at 11:31"/>
        <s v="Tuesday, 18 August 2026 at 07:56"/>
        <s v="Monday, 17 August 2026 at 15:37"/>
        <s v="Monday, 17 August 2026 at 15:15"/>
        <s v="Monday, 17 August 2026 at 13:01"/>
        <s v="Monday, 17 August 2026 at 12:37"/>
        <s v="Monday, 17 August 2026 at 11:08"/>
        <s v="Monday, 17 August 2026 at 10:59"/>
        <m/>
      </sharedItems>
    </cacheField>
    <cacheField name="School Name" numFmtId="0">
      <sharedItems containsBlank="1" count="10">
        <s v="Range High School"/>
        <s v="Koa Academy"/>
        <s v="Bay Primary"/>
        <s v="Harriston Primary School"/>
        <s v="Reddam House Helderfontein"/>
        <s v="Pinelands High School"/>
        <s v="Hermannsburg School"/>
        <s v="St Martins Preparatory School"/>
        <s v="Etham College"/>
        <m/>
      </sharedItems>
    </cacheField>
    <cacheField name="Product Type" numFmtId="0">
      <sharedItems containsBlank="1" count="4">
        <s v="Classroom &amp; Instrumental"/>
        <s v="Instrumental"/>
        <s v="Classroom"/>
        <m/>
      </sharedItems>
    </cacheField>
    <cacheField name="Billing Status" numFmtId="0">
      <sharedItems containsBlank="1" count="2">
        <s v="Pay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user1778228506.2529"/>
    <s v="gjmatroos@gmail.com"/>
    <s v="Gift"/>
    <s v="Matroos"/>
    <x v="0"/>
    <x v="0"/>
    <x v="0"/>
    <x v="0"/>
    <x v="0"/>
    <x v="0"/>
  </r>
  <r>
    <s v="WhitePeanut"/>
    <s v="noahbarry@koaacademy.com"/>
    <s v="Noah"/>
    <s v="Barry"/>
    <x v="1"/>
    <x v="1"/>
    <x v="1"/>
    <x v="1"/>
    <x v="1"/>
    <x v="0"/>
  </r>
  <r>
    <s v="user1771392319.4512"/>
    <s v="samrandall@koaacademy.com"/>
    <s v="Sam"/>
    <s v="Randall"/>
    <x v="2"/>
    <x v="1"/>
    <x v="2"/>
    <x v="1"/>
    <x v="1"/>
    <x v="0"/>
  </r>
  <r>
    <s v="user1771392306.84"/>
    <s v="michaelrandall@koaacademy.com"/>
    <s v="Michael"/>
    <s v="Randall"/>
    <x v="3"/>
    <x v="1"/>
    <x v="3"/>
    <x v="1"/>
    <x v="1"/>
    <x v="0"/>
  </r>
  <r>
    <s v="user1760945966.0881"/>
    <s v="art@bayprimary.co.za"/>
    <s v="Megan"/>
    <s v="Black"/>
    <x v="4"/>
    <x v="0"/>
    <x v="4"/>
    <x v="2"/>
    <x v="2"/>
    <x v="0"/>
  </r>
  <r>
    <s v="user1757925415.8532"/>
    <s v="geeljanika875@gmail.com"/>
    <s v="Janika"/>
    <s v="Vermeulen"/>
    <x v="5"/>
    <x v="0"/>
    <x v="5"/>
    <x v="3"/>
    <x v="2"/>
    <x v="0"/>
  </r>
  <r>
    <s v="user1757327710.9386"/>
    <s v="ilze.vanwyk@reddam.house"/>
    <s v="Ilze"/>
    <s v="van Wyk"/>
    <x v="6"/>
    <x v="0"/>
    <x v="6"/>
    <x v="4"/>
    <x v="2"/>
    <x v="0"/>
  </r>
  <r>
    <s v="user1785833258.6155"/>
    <s v="matthew.pienaar@phs.org.za"/>
    <s v="Matthew"/>
    <s v="Pienaar"/>
    <x v="7"/>
    <x v="1"/>
    <x v="7"/>
    <x v="5"/>
    <x v="1"/>
    <x v="0"/>
  </r>
  <r>
    <s v="user1771392888.9325"/>
    <s v="makatapedzisa@koaacademy.com"/>
    <s v="Maka"/>
    <s v="Tapedzisa"/>
    <x v="8"/>
    <x v="1"/>
    <x v="8"/>
    <x v="1"/>
    <x v="1"/>
    <x v="0"/>
  </r>
  <r>
    <s v="user1780041053.96"/>
    <s v="siyabonga991709@gmail.com"/>
    <s v="Siyabonga"/>
    <s v="Motloung"/>
    <x v="9"/>
    <x v="2"/>
    <x v="9"/>
    <x v="6"/>
    <x v="2"/>
    <x v="0"/>
  </r>
  <r>
    <s v="Jude gietzmann"/>
    <s v="judegietzmann@koaacademy.com"/>
    <s v="Jude"/>
    <s v="Gietzmann"/>
    <x v="10"/>
    <x v="1"/>
    <x v="10"/>
    <x v="1"/>
    <x v="1"/>
    <x v="0"/>
  </r>
  <r>
    <s v="user1786457800.3926"/>
    <s v="lilikotelo@koaacademy.com"/>
    <s v="Lilitha"/>
    <s v="Kotelo"/>
    <x v="11"/>
    <x v="1"/>
    <x v="11"/>
    <x v="1"/>
    <x v="1"/>
    <x v="0"/>
  </r>
  <r>
    <s v="user1759233179.6581"/>
    <s v="forgusk@stmartinprep.co.za"/>
    <s v="Kim-lee"/>
    <s v="Forgus"/>
    <x v="12"/>
    <x v="0"/>
    <x v="12"/>
    <x v="7"/>
    <x v="2"/>
    <x v="0"/>
  </r>
  <r>
    <s v="user1771392934.0799"/>
    <s v="mattycolacostrange@koaacademy.com"/>
    <s v="Matty"/>
    <s v="Colaco Strange"/>
    <x v="13"/>
    <x v="1"/>
    <x v="13"/>
    <x v="1"/>
    <x v="1"/>
    <x v="0"/>
  </r>
  <r>
    <s v="user1768727256.5875"/>
    <s v="chaneheslop@etham.co.za"/>
    <s v="Chane"/>
    <s v="Heslop"/>
    <x v="14"/>
    <x v="2"/>
    <x v="14"/>
    <x v="8"/>
    <x v="0"/>
    <x v="0"/>
  </r>
  <r>
    <m/>
    <m/>
    <m/>
    <m/>
    <x v="15"/>
    <x v="3"/>
    <x v="15"/>
    <x v="9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49D33-5657-46B0-923D-580466022DCA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42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17">
        <item x="14"/>
        <item x="0"/>
        <item x="6"/>
        <item x="5"/>
        <item x="10"/>
        <item x="12"/>
        <item x="11"/>
        <item x="8"/>
        <item x="7"/>
        <item x="13"/>
        <item x="4"/>
        <item x="3"/>
        <item x="1"/>
        <item x="2"/>
        <item x="9"/>
        <item x="15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axis="axisPage" showAll="0">
      <items count="17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5"/>
        <item t="default"/>
      </items>
    </pivotField>
    <pivotField axis="axisRow" showAll="0">
      <items count="11">
        <item x="2"/>
        <item x="8"/>
        <item x="3"/>
        <item x="6"/>
        <item x="1"/>
        <item x="5"/>
        <item x="0"/>
        <item x="4"/>
        <item x="7"/>
        <item x="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axis="axisPage" showAll="0">
      <items count="3">
        <item x="0"/>
        <item x="1"/>
        <item t="default"/>
      </items>
    </pivotField>
  </pivotFields>
  <rowFields count="3">
    <field x="7"/>
    <field x="8"/>
    <field x="4"/>
  </rowFields>
  <rowItems count="37">
    <i>
      <x/>
    </i>
    <i r="1">
      <x/>
    </i>
    <i r="2">
      <x v="10"/>
    </i>
    <i>
      <x v="1"/>
    </i>
    <i r="1">
      <x v="1"/>
    </i>
    <i r="2">
      <x/>
    </i>
    <i>
      <x v="2"/>
    </i>
    <i r="1">
      <x/>
    </i>
    <i r="2">
      <x v="3"/>
    </i>
    <i>
      <x v="3"/>
    </i>
    <i r="1">
      <x/>
    </i>
    <i r="2">
      <x v="14"/>
    </i>
    <i>
      <x v="4"/>
    </i>
    <i r="1">
      <x v="2"/>
    </i>
    <i r="2">
      <x v="4"/>
    </i>
    <i r="2">
      <x v="6"/>
    </i>
    <i r="2">
      <x v="7"/>
    </i>
    <i r="2">
      <x v="9"/>
    </i>
    <i r="2">
      <x v="11"/>
    </i>
    <i r="2">
      <x v="12"/>
    </i>
    <i r="2">
      <x v="13"/>
    </i>
    <i>
      <x v="5"/>
    </i>
    <i r="1">
      <x v="2"/>
    </i>
    <i r="2">
      <x v="8"/>
    </i>
    <i>
      <x v="6"/>
    </i>
    <i r="1">
      <x v="1"/>
    </i>
    <i r="2">
      <x v="1"/>
    </i>
    <i>
      <x v="7"/>
    </i>
    <i r="1">
      <x/>
    </i>
    <i r="2">
      <x v="2"/>
    </i>
    <i>
      <x v="8"/>
    </i>
    <i r="1">
      <x/>
    </i>
    <i r="2">
      <x v="5"/>
    </i>
    <i>
      <x v="9"/>
    </i>
    <i r="1">
      <x v="3"/>
    </i>
    <i r="2">
      <x v="15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0450-34E8-497D-BA68-29667D70E3ED}">
  <dimension ref="A1:J17"/>
  <sheetViews>
    <sheetView workbookViewId="0">
      <selection activeCell="C23" sqref="C23"/>
    </sheetView>
  </sheetViews>
  <sheetFormatPr defaultRowHeight="15" x14ac:dyDescent="0.25"/>
  <cols>
    <col min="1" max="1" width="21.85546875" bestFit="1" customWidth="1"/>
    <col min="2" max="2" width="36.7109375" bestFit="1" customWidth="1"/>
    <col min="3" max="3" width="12" bestFit="1" customWidth="1"/>
    <col min="4" max="4" width="21.5703125" bestFit="1" customWidth="1"/>
    <col min="5" max="5" width="21.5703125" customWidth="1"/>
    <col min="6" max="6" width="19.85546875" bestFit="1" customWidth="1"/>
    <col min="7" max="7" width="30" bestFit="1" customWidth="1"/>
    <col min="8" max="8" width="32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84</v>
      </c>
      <c r="B1" s="2" t="s">
        <v>85</v>
      </c>
      <c r="C1" s="2" t="s">
        <v>86</v>
      </c>
      <c r="D1" s="2" t="s">
        <v>87</v>
      </c>
      <c r="E1" s="2" t="s">
        <v>98</v>
      </c>
      <c r="F1" s="2" t="s">
        <v>97</v>
      </c>
      <c r="G1" s="2" t="s">
        <v>88</v>
      </c>
      <c r="H1" s="2" t="s">
        <v>89</v>
      </c>
      <c r="I1" s="2" t="s">
        <v>91</v>
      </c>
      <c r="J1" s="2" t="s">
        <v>92</v>
      </c>
    </row>
    <row r="2" spans="1:10" x14ac:dyDescent="0.25">
      <c r="A2" t="s">
        <v>0</v>
      </c>
      <c r="B2" s="3" t="s">
        <v>1</v>
      </c>
      <c r="C2" s="3" t="s">
        <v>2</v>
      </c>
      <c r="D2" s="3" t="s">
        <v>99</v>
      </c>
      <c r="E2" s="3" t="str">
        <f>_xlfn.CONCAT(C2:D2)</f>
        <v>GiftMatroos</v>
      </c>
      <c r="F2" s="3" t="s">
        <v>3</v>
      </c>
      <c r="G2" s="3" t="s">
        <v>4</v>
      </c>
      <c r="H2" s="3" t="s">
        <v>5</v>
      </c>
      <c r="I2" s="3" t="s">
        <v>93</v>
      </c>
      <c r="J2" s="3" t="s">
        <v>96</v>
      </c>
    </row>
    <row r="3" spans="1:10" x14ac:dyDescent="0.25">
      <c r="A3" t="s">
        <v>6</v>
      </c>
      <c r="B3" s="3" t="s">
        <v>7</v>
      </c>
      <c r="C3" s="3" t="s">
        <v>8</v>
      </c>
      <c r="D3" s="3" t="s">
        <v>9</v>
      </c>
      <c r="E3" s="3" t="str">
        <f t="shared" ref="E3:E16" si="0">_xlfn.CONCAT(C3:D3)</f>
        <v>NoahBarry</v>
      </c>
      <c r="F3" s="3" t="s">
        <v>10</v>
      </c>
      <c r="G3" s="3" t="s">
        <v>11</v>
      </c>
      <c r="H3" s="3" t="s">
        <v>12</v>
      </c>
      <c r="I3" s="3" t="s">
        <v>94</v>
      </c>
      <c r="J3" s="3" t="s">
        <v>96</v>
      </c>
    </row>
    <row r="4" spans="1:10" x14ac:dyDescent="0.25">
      <c r="A4" t="s">
        <v>13</v>
      </c>
      <c r="B4" s="3" t="s">
        <v>14</v>
      </c>
      <c r="C4" s="3" t="s">
        <v>15</v>
      </c>
      <c r="D4" s="3" t="s">
        <v>16</v>
      </c>
      <c r="E4" s="3" t="str">
        <f t="shared" si="0"/>
        <v>SamRandall</v>
      </c>
      <c r="F4" s="3" t="s">
        <v>10</v>
      </c>
      <c r="G4" s="3" t="s">
        <v>17</v>
      </c>
      <c r="H4" s="3" t="s">
        <v>12</v>
      </c>
      <c r="I4" s="3" t="s">
        <v>94</v>
      </c>
      <c r="J4" s="3" t="s">
        <v>96</v>
      </c>
    </row>
    <row r="5" spans="1:10" x14ac:dyDescent="0.25">
      <c r="A5" t="s">
        <v>18</v>
      </c>
      <c r="B5" s="3" t="s">
        <v>19</v>
      </c>
      <c r="C5" s="3" t="s">
        <v>20</v>
      </c>
      <c r="D5" s="3" t="s">
        <v>16</v>
      </c>
      <c r="E5" s="3" t="str">
        <f t="shared" si="0"/>
        <v>MichaelRandall</v>
      </c>
      <c r="F5" s="3" t="s">
        <v>10</v>
      </c>
      <c r="G5" s="3" t="s">
        <v>21</v>
      </c>
      <c r="H5" s="3" t="s">
        <v>12</v>
      </c>
      <c r="I5" s="3" t="s">
        <v>94</v>
      </c>
      <c r="J5" s="3" t="s">
        <v>96</v>
      </c>
    </row>
    <row r="6" spans="1:10" x14ac:dyDescent="0.25">
      <c r="A6" t="s">
        <v>22</v>
      </c>
      <c r="B6" s="3" t="s">
        <v>23</v>
      </c>
      <c r="C6" s="3" t="s">
        <v>24</v>
      </c>
      <c r="D6" s="3" t="s">
        <v>25</v>
      </c>
      <c r="E6" s="3" t="str">
        <f t="shared" si="0"/>
        <v>MeganBlack</v>
      </c>
      <c r="F6" s="3" t="s">
        <v>3</v>
      </c>
      <c r="G6" s="3" t="s">
        <v>26</v>
      </c>
      <c r="H6" s="3" t="s">
        <v>27</v>
      </c>
      <c r="I6" s="3" t="s">
        <v>95</v>
      </c>
      <c r="J6" s="3" t="s">
        <v>96</v>
      </c>
    </row>
    <row r="7" spans="1:10" x14ac:dyDescent="0.25">
      <c r="A7" t="s">
        <v>28</v>
      </c>
      <c r="B7" s="3" t="s">
        <v>29</v>
      </c>
      <c r="C7" s="3" t="s">
        <v>30</v>
      </c>
      <c r="D7" s="3" t="s">
        <v>31</v>
      </c>
      <c r="E7" s="3" t="str">
        <f t="shared" si="0"/>
        <v>JanikaVermeulen</v>
      </c>
      <c r="F7" s="3" t="s">
        <v>3</v>
      </c>
      <c r="G7" s="3" t="s">
        <v>32</v>
      </c>
      <c r="H7" s="3" t="s">
        <v>33</v>
      </c>
      <c r="I7" s="3" t="s">
        <v>95</v>
      </c>
      <c r="J7" s="3" t="s">
        <v>96</v>
      </c>
    </row>
    <row r="8" spans="1:10" x14ac:dyDescent="0.25">
      <c r="A8" t="s">
        <v>34</v>
      </c>
      <c r="B8" s="3" t="s">
        <v>35</v>
      </c>
      <c r="C8" s="3" t="s">
        <v>36</v>
      </c>
      <c r="D8" s="3" t="s">
        <v>37</v>
      </c>
      <c r="E8" s="3" t="str">
        <f t="shared" si="0"/>
        <v>Ilzevan Wyk</v>
      </c>
      <c r="F8" s="3" t="s">
        <v>3</v>
      </c>
      <c r="G8" s="3" t="s">
        <v>38</v>
      </c>
      <c r="H8" s="3" t="s">
        <v>39</v>
      </c>
      <c r="I8" s="3" t="s">
        <v>95</v>
      </c>
      <c r="J8" s="3" t="s">
        <v>96</v>
      </c>
    </row>
    <row r="9" spans="1:10" x14ac:dyDescent="0.25">
      <c r="A9" t="s">
        <v>40</v>
      </c>
      <c r="B9" s="3" t="s">
        <v>41</v>
      </c>
      <c r="C9" s="3" t="s">
        <v>42</v>
      </c>
      <c r="D9" s="3" t="s">
        <v>43</v>
      </c>
      <c r="E9" s="3" t="str">
        <f t="shared" si="0"/>
        <v>MatthewPienaar</v>
      </c>
      <c r="F9" s="3" t="s">
        <v>10</v>
      </c>
      <c r="G9" s="3" t="s">
        <v>44</v>
      </c>
      <c r="H9" s="3" t="s">
        <v>45</v>
      </c>
      <c r="I9" s="3" t="s">
        <v>94</v>
      </c>
      <c r="J9" s="3" t="s">
        <v>96</v>
      </c>
    </row>
    <row r="10" spans="1:10" x14ac:dyDescent="0.25">
      <c r="A10" t="s">
        <v>46</v>
      </c>
      <c r="B10" s="3" t="s">
        <v>47</v>
      </c>
      <c r="C10" s="3" t="s">
        <v>48</v>
      </c>
      <c r="D10" s="3" t="s">
        <v>49</v>
      </c>
      <c r="E10" s="3" t="str">
        <f t="shared" si="0"/>
        <v>MakaTapedzisa</v>
      </c>
      <c r="F10" s="3" t="s">
        <v>10</v>
      </c>
      <c r="G10" s="3" t="s">
        <v>50</v>
      </c>
      <c r="H10" s="3" t="s">
        <v>12</v>
      </c>
      <c r="I10" s="3" t="s">
        <v>94</v>
      </c>
      <c r="J10" s="3" t="s">
        <v>96</v>
      </c>
    </row>
    <row r="11" spans="1:10" x14ac:dyDescent="0.25">
      <c r="A11" t="s">
        <v>51</v>
      </c>
      <c r="B11" s="3" t="s">
        <v>52</v>
      </c>
      <c r="C11" s="3" t="s">
        <v>53</v>
      </c>
      <c r="D11" s="3" t="s">
        <v>54</v>
      </c>
      <c r="E11" s="3" t="str">
        <f t="shared" si="0"/>
        <v>SiyabongaMotloung</v>
      </c>
      <c r="F11" s="3" t="s">
        <v>55</v>
      </c>
      <c r="G11" s="3" t="s">
        <v>56</v>
      </c>
      <c r="H11" s="3" t="s">
        <v>57</v>
      </c>
      <c r="I11" s="3" t="s">
        <v>95</v>
      </c>
      <c r="J11" s="3" t="s">
        <v>96</v>
      </c>
    </row>
    <row r="12" spans="1:10" x14ac:dyDescent="0.25">
      <c r="A12" t="s">
        <v>58</v>
      </c>
      <c r="B12" s="3" t="s">
        <v>59</v>
      </c>
      <c r="C12" s="3" t="s">
        <v>60</v>
      </c>
      <c r="D12" s="3" t="s">
        <v>61</v>
      </c>
      <c r="E12" s="3" t="str">
        <f t="shared" si="0"/>
        <v>JudeGietzmann</v>
      </c>
      <c r="F12" s="3" t="s">
        <v>10</v>
      </c>
      <c r="G12" s="3" t="s">
        <v>62</v>
      </c>
      <c r="H12" s="3" t="s">
        <v>12</v>
      </c>
      <c r="I12" s="3" t="s">
        <v>94</v>
      </c>
      <c r="J12" s="3" t="s">
        <v>96</v>
      </c>
    </row>
    <row r="13" spans="1:10" x14ac:dyDescent="0.25">
      <c r="A13" t="s">
        <v>63</v>
      </c>
      <c r="B13" s="3" t="s">
        <v>64</v>
      </c>
      <c r="C13" s="3" t="s">
        <v>65</v>
      </c>
      <c r="D13" s="3" t="s">
        <v>66</v>
      </c>
      <c r="E13" s="3" t="str">
        <f t="shared" si="0"/>
        <v>LilithaKotelo</v>
      </c>
      <c r="F13" s="3" t="s">
        <v>10</v>
      </c>
      <c r="G13" s="3" t="s">
        <v>67</v>
      </c>
      <c r="H13" s="3" t="s">
        <v>12</v>
      </c>
      <c r="I13" s="3" t="s">
        <v>94</v>
      </c>
      <c r="J13" s="3" t="s">
        <v>96</v>
      </c>
    </row>
    <row r="14" spans="1:10" x14ac:dyDescent="0.25">
      <c r="A14" t="s">
        <v>68</v>
      </c>
      <c r="B14" s="3" t="s">
        <v>69</v>
      </c>
      <c r="C14" s="3" t="s">
        <v>70</v>
      </c>
      <c r="D14" s="3" t="s">
        <v>71</v>
      </c>
      <c r="E14" s="3" t="str">
        <f t="shared" si="0"/>
        <v>Kim-leeForgus</v>
      </c>
      <c r="F14" s="3" t="s">
        <v>3</v>
      </c>
      <c r="G14" s="3" t="s">
        <v>72</v>
      </c>
      <c r="H14" s="3" t="s">
        <v>90</v>
      </c>
      <c r="I14" s="3" t="s">
        <v>95</v>
      </c>
      <c r="J14" s="3" t="s">
        <v>96</v>
      </c>
    </row>
    <row r="15" spans="1:10" x14ac:dyDescent="0.25">
      <c r="A15" t="s">
        <v>73</v>
      </c>
      <c r="B15" s="3" t="s">
        <v>74</v>
      </c>
      <c r="C15" s="3" t="s">
        <v>75</v>
      </c>
      <c r="D15" s="3" t="s">
        <v>76</v>
      </c>
      <c r="E15" s="3" t="str">
        <f t="shared" si="0"/>
        <v>MattyColaco Strange</v>
      </c>
      <c r="F15" s="3" t="s">
        <v>10</v>
      </c>
      <c r="G15" s="3" t="s">
        <v>77</v>
      </c>
      <c r="H15" s="3" t="s">
        <v>12</v>
      </c>
      <c r="I15" s="3" t="s">
        <v>94</v>
      </c>
      <c r="J15" s="3" t="s">
        <v>96</v>
      </c>
    </row>
    <row r="16" spans="1:10" x14ac:dyDescent="0.25">
      <c r="A16" t="s">
        <v>78</v>
      </c>
      <c r="B16" s="3" t="s">
        <v>79</v>
      </c>
      <c r="C16" s="3" t="s">
        <v>80</v>
      </c>
      <c r="D16" s="3" t="s">
        <v>81</v>
      </c>
      <c r="E16" s="3" t="str">
        <f t="shared" si="0"/>
        <v>ChaneHeslop</v>
      </c>
      <c r="F16" s="3" t="s">
        <v>55</v>
      </c>
      <c r="G16" s="3" t="s">
        <v>82</v>
      </c>
      <c r="H16" s="3" t="s">
        <v>83</v>
      </c>
      <c r="I16" s="3" t="s">
        <v>93</v>
      </c>
      <c r="J16" s="3" t="s">
        <v>96</v>
      </c>
    </row>
    <row r="17" spans="2:10" x14ac:dyDescent="0.25">
      <c r="B17" s="3"/>
      <c r="C17" s="3"/>
      <c r="D17" s="3"/>
      <c r="E17" s="3"/>
      <c r="F17" s="3"/>
      <c r="G17" s="3"/>
      <c r="H17" s="3"/>
      <c r="I17" s="3"/>
      <c r="J17" s="3"/>
    </row>
  </sheetData>
  <autoFilter ref="A1:J1" xr:uid="{18B40450-34E8-497D-BA68-29667D70E3E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FA7F-FBD1-41FD-A1FC-09654E30E548}">
  <dimension ref="A1:F42"/>
  <sheetViews>
    <sheetView tabSelected="1" topLeftCell="A4" workbookViewId="0">
      <selection activeCell="D24" sqref="D24"/>
    </sheetView>
  </sheetViews>
  <sheetFormatPr defaultRowHeight="15" x14ac:dyDescent="0.25"/>
  <cols>
    <col min="1" max="1" width="30.285156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7.28515625" bestFit="1" customWidth="1"/>
    <col min="6" max="6" width="11.28515625" bestFit="1" customWidth="1"/>
  </cols>
  <sheetData>
    <row r="1" spans="1:6" x14ac:dyDescent="0.25">
      <c r="A1" s="4" t="s">
        <v>88</v>
      </c>
      <c r="B1" t="s">
        <v>104</v>
      </c>
    </row>
    <row r="2" spans="1:6" x14ac:dyDescent="0.25">
      <c r="A2" s="4" t="s">
        <v>92</v>
      </c>
      <c r="B2" t="s">
        <v>104</v>
      </c>
    </row>
    <row r="4" spans="1:6" x14ac:dyDescent="0.25">
      <c r="A4" s="4" t="s">
        <v>120</v>
      </c>
      <c r="B4" s="4" t="s">
        <v>103</v>
      </c>
    </row>
    <row r="5" spans="1:6" x14ac:dyDescent="0.25">
      <c r="A5" s="4" t="s">
        <v>100</v>
      </c>
      <c r="B5" t="s">
        <v>10</v>
      </c>
      <c r="C5" t="s">
        <v>3</v>
      </c>
      <c r="D5" t="s">
        <v>55</v>
      </c>
      <c r="E5" t="s">
        <v>101</v>
      </c>
      <c r="F5" t="s">
        <v>102</v>
      </c>
    </row>
    <row r="6" spans="1:6" x14ac:dyDescent="0.25">
      <c r="A6" s="5" t="s">
        <v>27</v>
      </c>
      <c r="B6" s="8"/>
      <c r="C6" s="8">
        <v>1</v>
      </c>
      <c r="D6" s="8"/>
      <c r="E6" s="8"/>
      <c r="F6" s="8">
        <v>1</v>
      </c>
    </row>
    <row r="7" spans="1:6" x14ac:dyDescent="0.25">
      <c r="A7" s="6" t="s">
        <v>95</v>
      </c>
      <c r="B7" s="8"/>
      <c r="C7" s="8">
        <v>1</v>
      </c>
      <c r="D7" s="8"/>
      <c r="E7" s="8"/>
      <c r="F7" s="8">
        <v>1</v>
      </c>
    </row>
    <row r="8" spans="1:6" x14ac:dyDescent="0.25">
      <c r="A8" s="7" t="s">
        <v>105</v>
      </c>
      <c r="B8" s="8"/>
      <c r="C8" s="8">
        <v>1</v>
      </c>
      <c r="D8" s="8"/>
      <c r="E8" s="8"/>
      <c r="F8" s="8">
        <v>1</v>
      </c>
    </row>
    <row r="9" spans="1:6" x14ac:dyDescent="0.25">
      <c r="A9" s="5" t="s">
        <v>83</v>
      </c>
      <c r="B9" s="8"/>
      <c r="C9" s="8"/>
      <c r="D9" s="8">
        <v>1</v>
      </c>
      <c r="E9" s="8"/>
      <c r="F9" s="8">
        <v>1</v>
      </c>
    </row>
    <row r="10" spans="1:6" x14ac:dyDescent="0.25">
      <c r="A10" s="6" t="s">
        <v>93</v>
      </c>
      <c r="B10" s="8"/>
      <c r="C10" s="8"/>
      <c r="D10" s="8">
        <v>1</v>
      </c>
      <c r="E10" s="8"/>
      <c r="F10" s="8">
        <v>1</v>
      </c>
    </row>
    <row r="11" spans="1:6" x14ac:dyDescent="0.25">
      <c r="A11" s="7" t="s">
        <v>106</v>
      </c>
      <c r="B11" s="8"/>
      <c r="C11" s="8"/>
      <c r="D11" s="8">
        <v>1</v>
      </c>
      <c r="E11" s="8"/>
      <c r="F11" s="8">
        <v>1</v>
      </c>
    </row>
    <row r="12" spans="1:6" x14ac:dyDescent="0.25">
      <c r="A12" s="5" t="s">
        <v>33</v>
      </c>
      <c r="B12" s="8"/>
      <c r="C12" s="8">
        <v>1</v>
      </c>
      <c r="D12" s="8"/>
      <c r="E12" s="8"/>
      <c r="F12" s="8">
        <v>1</v>
      </c>
    </row>
    <row r="13" spans="1:6" x14ac:dyDescent="0.25">
      <c r="A13" s="6" t="s">
        <v>95</v>
      </c>
      <c r="B13" s="8"/>
      <c r="C13" s="8">
        <v>1</v>
      </c>
      <c r="D13" s="8"/>
      <c r="E13" s="8"/>
      <c r="F13" s="8">
        <v>1</v>
      </c>
    </row>
    <row r="14" spans="1:6" x14ac:dyDescent="0.25">
      <c r="A14" s="7" t="s">
        <v>107</v>
      </c>
      <c r="B14" s="8"/>
      <c r="C14" s="8">
        <v>1</v>
      </c>
      <c r="D14" s="8"/>
      <c r="E14" s="8"/>
      <c r="F14" s="8">
        <v>1</v>
      </c>
    </row>
    <row r="15" spans="1:6" x14ac:dyDescent="0.25">
      <c r="A15" s="5" t="s">
        <v>57</v>
      </c>
      <c r="B15" s="8"/>
      <c r="C15" s="8"/>
      <c r="D15" s="8">
        <v>1</v>
      </c>
      <c r="E15" s="8"/>
      <c r="F15" s="8">
        <v>1</v>
      </c>
    </row>
    <row r="16" spans="1:6" x14ac:dyDescent="0.25">
      <c r="A16" s="6" t="s">
        <v>95</v>
      </c>
      <c r="B16" s="8"/>
      <c r="C16" s="8"/>
      <c r="D16" s="8">
        <v>1</v>
      </c>
      <c r="E16" s="8"/>
      <c r="F16" s="8">
        <v>1</v>
      </c>
    </row>
    <row r="17" spans="1:6" x14ac:dyDescent="0.25">
      <c r="A17" s="7" t="s">
        <v>108</v>
      </c>
      <c r="B17" s="8"/>
      <c r="C17" s="8"/>
      <c r="D17" s="8">
        <v>1</v>
      </c>
      <c r="E17" s="8"/>
      <c r="F17" s="8">
        <v>1</v>
      </c>
    </row>
    <row r="18" spans="1:6" x14ac:dyDescent="0.25">
      <c r="A18" s="5" t="s">
        <v>12</v>
      </c>
      <c r="B18" s="8">
        <v>7</v>
      </c>
      <c r="C18" s="8"/>
      <c r="D18" s="8"/>
      <c r="E18" s="8"/>
      <c r="F18" s="8">
        <v>7</v>
      </c>
    </row>
    <row r="19" spans="1:6" x14ac:dyDescent="0.25">
      <c r="A19" s="6" t="s">
        <v>94</v>
      </c>
      <c r="B19" s="8">
        <v>7</v>
      </c>
      <c r="C19" s="8"/>
      <c r="D19" s="8"/>
      <c r="E19" s="8"/>
      <c r="F19" s="8">
        <v>7</v>
      </c>
    </row>
    <row r="20" spans="1:6" x14ac:dyDescent="0.25">
      <c r="A20" s="7" t="s">
        <v>109</v>
      </c>
      <c r="B20" s="8">
        <v>1</v>
      </c>
      <c r="C20" s="8"/>
      <c r="D20" s="8"/>
      <c r="E20" s="8"/>
      <c r="F20" s="8">
        <v>1</v>
      </c>
    </row>
    <row r="21" spans="1:6" x14ac:dyDescent="0.25">
      <c r="A21" s="7" t="s">
        <v>110</v>
      </c>
      <c r="B21" s="8">
        <v>1</v>
      </c>
      <c r="C21" s="8"/>
      <c r="D21" s="8"/>
      <c r="E21" s="8"/>
      <c r="F21" s="8">
        <v>1</v>
      </c>
    </row>
    <row r="22" spans="1:6" x14ac:dyDescent="0.25">
      <c r="A22" s="7" t="s">
        <v>111</v>
      </c>
      <c r="B22" s="8">
        <v>1</v>
      </c>
      <c r="C22" s="8"/>
      <c r="D22" s="8"/>
      <c r="E22" s="8"/>
      <c r="F22" s="8">
        <v>1</v>
      </c>
    </row>
    <row r="23" spans="1:6" x14ac:dyDescent="0.25">
      <c r="A23" s="7" t="s">
        <v>112</v>
      </c>
      <c r="B23" s="8">
        <v>1</v>
      </c>
      <c r="C23" s="8"/>
      <c r="D23" s="8"/>
      <c r="E23" s="8"/>
      <c r="F23" s="8">
        <v>1</v>
      </c>
    </row>
    <row r="24" spans="1:6" x14ac:dyDescent="0.25">
      <c r="A24" s="7" t="s">
        <v>113</v>
      </c>
      <c r="B24" s="8">
        <v>1</v>
      </c>
      <c r="C24" s="8"/>
      <c r="D24" s="8"/>
      <c r="E24" s="8"/>
      <c r="F24" s="8">
        <v>1</v>
      </c>
    </row>
    <row r="25" spans="1:6" x14ac:dyDescent="0.25">
      <c r="A25" s="7" t="s">
        <v>114</v>
      </c>
      <c r="B25" s="8">
        <v>1</v>
      </c>
      <c r="C25" s="8"/>
      <c r="D25" s="8"/>
      <c r="E25" s="8"/>
      <c r="F25" s="8">
        <v>1</v>
      </c>
    </row>
    <row r="26" spans="1:6" x14ac:dyDescent="0.25">
      <c r="A26" s="7" t="s">
        <v>115</v>
      </c>
      <c r="B26" s="8">
        <v>1</v>
      </c>
      <c r="C26" s="8"/>
      <c r="D26" s="8"/>
      <c r="E26" s="8"/>
      <c r="F26" s="8">
        <v>1</v>
      </c>
    </row>
    <row r="27" spans="1:6" x14ac:dyDescent="0.25">
      <c r="A27" s="5" t="s">
        <v>45</v>
      </c>
      <c r="B27" s="8">
        <v>1</v>
      </c>
      <c r="C27" s="8"/>
      <c r="D27" s="8"/>
      <c r="E27" s="8"/>
      <c r="F27" s="8">
        <v>1</v>
      </c>
    </row>
    <row r="28" spans="1:6" x14ac:dyDescent="0.25">
      <c r="A28" s="6" t="s">
        <v>94</v>
      </c>
      <c r="B28" s="8">
        <v>1</v>
      </c>
      <c r="C28" s="8"/>
      <c r="D28" s="8"/>
      <c r="E28" s="8"/>
      <c r="F28" s="8">
        <v>1</v>
      </c>
    </row>
    <row r="29" spans="1:6" x14ac:dyDescent="0.25">
      <c r="A29" s="7" t="s">
        <v>116</v>
      </c>
      <c r="B29" s="8">
        <v>1</v>
      </c>
      <c r="C29" s="8"/>
      <c r="D29" s="8"/>
      <c r="E29" s="8"/>
      <c r="F29" s="8">
        <v>1</v>
      </c>
    </row>
    <row r="30" spans="1:6" x14ac:dyDescent="0.25">
      <c r="A30" s="5" t="s">
        <v>5</v>
      </c>
      <c r="B30" s="8"/>
      <c r="C30" s="8">
        <v>1</v>
      </c>
      <c r="D30" s="8"/>
      <c r="E30" s="8"/>
      <c r="F30" s="8">
        <v>1</v>
      </c>
    </row>
    <row r="31" spans="1:6" x14ac:dyDescent="0.25">
      <c r="A31" s="6" t="s">
        <v>93</v>
      </c>
      <c r="B31" s="8"/>
      <c r="C31" s="8">
        <v>1</v>
      </c>
      <c r="D31" s="8"/>
      <c r="E31" s="8"/>
      <c r="F31" s="8">
        <v>1</v>
      </c>
    </row>
    <row r="32" spans="1:6" x14ac:dyDescent="0.25">
      <c r="A32" s="7" t="s">
        <v>117</v>
      </c>
      <c r="B32" s="8"/>
      <c r="C32" s="8">
        <v>1</v>
      </c>
      <c r="D32" s="8"/>
      <c r="E32" s="8"/>
      <c r="F32" s="8">
        <v>1</v>
      </c>
    </row>
    <row r="33" spans="1:6" x14ac:dyDescent="0.25">
      <c r="A33" s="5" t="s">
        <v>39</v>
      </c>
      <c r="B33" s="8"/>
      <c r="C33" s="8">
        <v>1</v>
      </c>
      <c r="D33" s="8"/>
      <c r="E33" s="8"/>
      <c r="F33" s="8">
        <v>1</v>
      </c>
    </row>
    <row r="34" spans="1:6" x14ac:dyDescent="0.25">
      <c r="A34" s="6" t="s">
        <v>95</v>
      </c>
      <c r="B34" s="8"/>
      <c r="C34" s="8">
        <v>1</v>
      </c>
      <c r="D34" s="8"/>
      <c r="E34" s="8"/>
      <c r="F34" s="8">
        <v>1</v>
      </c>
    </row>
    <row r="35" spans="1:6" x14ac:dyDescent="0.25">
      <c r="A35" s="7" t="s">
        <v>118</v>
      </c>
      <c r="B35" s="8"/>
      <c r="C35" s="8">
        <v>1</v>
      </c>
      <c r="D35" s="8"/>
      <c r="E35" s="8"/>
      <c r="F35" s="8">
        <v>1</v>
      </c>
    </row>
    <row r="36" spans="1:6" x14ac:dyDescent="0.25">
      <c r="A36" s="5" t="s">
        <v>90</v>
      </c>
      <c r="B36" s="8"/>
      <c r="C36" s="8">
        <v>1</v>
      </c>
      <c r="D36" s="8"/>
      <c r="E36" s="8"/>
      <c r="F36" s="8">
        <v>1</v>
      </c>
    </row>
    <row r="37" spans="1:6" x14ac:dyDescent="0.25">
      <c r="A37" s="6" t="s">
        <v>95</v>
      </c>
      <c r="B37" s="8"/>
      <c r="C37" s="8">
        <v>1</v>
      </c>
      <c r="D37" s="8"/>
      <c r="E37" s="8"/>
      <c r="F37" s="8">
        <v>1</v>
      </c>
    </row>
    <row r="38" spans="1:6" x14ac:dyDescent="0.25">
      <c r="A38" s="7" t="s">
        <v>119</v>
      </c>
      <c r="B38" s="8"/>
      <c r="C38" s="8">
        <v>1</v>
      </c>
      <c r="D38" s="8"/>
      <c r="E38" s="8"/>
      <c r="F38" s="8">
        <v>1</v>
      </c>
    </row>
    <row r="39" spans="1:6" x14ac:dyDescent="0.25">
      <c r="A39" s="5" t="s">
        <v>101</v>
      </c>
      <c r="B39" s="8"/>
      <c r="C39" s="8"/>
      <c r="D39" s="8"/>
      <c r="E39" s="8"/>
      <c r="F39" s="8"/>
    </row>
    <row r="40" spans="1:6" x14ac:dyDescent="0.25">
      <c r="A40" s="6" t="s">
        <v>101</v>
      </c>
      <c r="B40" s="8"/>
      <c r="C40" s="8"/>
      <c r="D40" s="8"/>
      <c r="E40" s="8"/>
      <c r="F40" s="8"/>
    </row>
    <row r="41" spans="1:6" x14ac:dyDescent="0.25">
      <c r="A41" s="7" t="s">
        <v>101</v>
      </c>
      <c r="B41" s="8"/>
      <c r="C41" s="8"/>
      <c r="D41" s="8"/>
      <c r="E41" s="8"/>
      <c r="F41" s="8"/>
    </row>
    <row r="42" spans="1:6" x14ac:dyDescent="0.25">
      <c r="A42" s="5" t="s">
        <v>102</v>
      </c>
      <c r="B42" s="8">
        <v>8</v>
      </c>
      <c r="C42" s="8">
        <v>5</v>
      </c>
      <c r="D42" s="8">
        <v>2</v>
      </c>
      <c r="E42" s="8"/>
      <c r="F42" s="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2026-08-18T13:52:29Z</dcterms:created>
  <dcterms:modified xsi:type="dcterms:W3CDTF">2026-08-18T13:57:59Z</dcterms:modified>
</cp:coreProperties>
</file>