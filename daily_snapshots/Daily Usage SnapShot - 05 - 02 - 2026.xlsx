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35401F18-ACDE-4D13-B531-B78EDC4A6CF8}" xr6:coauthVersionLast="47" xr6:coauthVersionMax="47" xr10:uidLastSave="{00000000-0000-0000-0000-000000000000}"/>
  <bookViews>
    <workbookView xWindow="-120" yWindow="-120" windowWidth="29040" windowHeight="15720" activeTab="1" xr2:uid="{9C1504D0-A5E6-487F-A3A2-34D55B0E831A}"/>
  </bookViews>
  <sheets>
    <sheet name="Raw Data" sheetId="1" r:id="rId1"/>
    <sheet name="Pivot Table" sheetId="3" r:id="rId2"/>
  </sheets>
  <definedNames>
    <definedName name="_xlnm._FilterDatabase" localSheetId="0" hidden="1">'Raw Data'!$A$1:$H$21</definedName>
  </definedNames>
  <calcPr calcId="19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</calcChain>
</file>

<file path=xl/sharedStrings.xml><?xml version="1.0" encoding="utf-8"?>
<sst xmlns="http://schemas.openxmlformats.org/spreadsheetml/2006/main" count="195" uniqueCount="151">
  <si>
    <t>UserName</t>
  </si>
  <si>
    <t>Email Address</t>
  </si>
  <si>
    <t>First Name</t>
  </si>
  <si>
    <t>Surname</t>
  </si>
  <si>
    <t>User Roles</t>
  </si>
  <si>
    <t>Date &amp; Time</t>
  </si>
  <si>
    <t>School Name</t>
  </si>
  <si>
    <t>Malefane</t>
  </si>
  <si>
    <t>malefane@soofiainternational.org</t>
  </si>
  <si>
    <t>Lehlomela</t>
  </si>
  <si>
    <t>Teacher Administrator</t>
  </si>
  <si>
    <t>Feb 5, 2026, 16:12</t>
  </si>
  <si>
    <t>Soofia International School</t>
  </si>
  <si>
    <t>user1769691514.5839</t>
  </si>
  <si>
    <t>jrelling@callingeducation.org.za</t>
  </si>
  <si>
    <t>Janette</t>
  </si>
  <si>
    <t>Relling</t>
  </si>
  <si>
    <t>School Administrator</t>
  </si>
  <si>
    <t>Feb 5, 2026, 15:16</t>
  </si>
  <si>
    <t>Calling Academy</t>
  </si>
  <si>
    <t>user1768825581.4193</t>
  </si>
  <si>
    <t>info@soofiainternational.org</t>
  </si>
  <si>
    <t>Matseliso</t>
  </si>
  <si>
    <t>Moruthane</t>
  </si>
  <si>
    <t>Feb 5, 2026, 14:38</t>
  </si>
  <si>
    <t>user1770272740.9621</t>
  </si>
  <si>
    <t>ajansen@royalschools.co.za</t>
  </si>
  <si>
    <t>Ashley</t>
  </si>
  <si>
    <t>Jansen</t>
  </si>
  <si>
    <t>Teacher</t>
  </si>
  <si>
    <t>Feb 5, 2026, 14:36</t>
  </si>
  <si>
    <t>Princess Park College</t>
  </si>
  <si>
    <t>Kayise</t>
  </si>
  <si>
    <t>kkhumalo@coreeducation.co.za</t>
  </si>
  <si>
    <t>Khumalo</t>
  </si>
  <si>
    <t>Feb 5, 2026, 14:14</t>
  </si>
  <si>
    <t>Sky City Primary School</t>
  </si>
  <si>
    <t>user1761656501.7987</t>
  </si>
  <si>
    <t>jessica.spires@generationschools.co.za</t>
  </si>
  <si>
    <t>Jessica</t>
  </si>
  <si>
    <t>Spires</t>
  </si>
  <si>
    <t>Feb 5, 2026, 13:02</t>
  </si>
  <si>
    <t>Generation Schools Hermanus</t>
  </si>
  <si>
    <t>user1762864676.5283</t>
  </si>
  <si>
    <t>vmasingi@coreeducation.co.za</t>
  </si>
  <si>
    <t>Victor</t>
  </si>
  <si>
    <t>Masingi</t>
  </si>
  <si>
    <t>Feb 5, 2026, 12:59</t>
  </si>
  <si>
    <t>user1752818206.9287</t>
  </si>
  <si>
    <t>carien.v@curro.co.za</t>
  </si>
  <si>
    <t>Carien</t>
  </si>
  <si>
    <t>Van der Walt</t>
  </si>
  <si>
    <t>Participant</t>
  </si>
  <si>
    <t>Feb 5, 2026, 12:47</t>
  </si>
  <si>
    <t>The Ear Academy</t>
  </si>
  <si>
    <t>Stephanie Kusel</t>
  </si>
  <si>
    <t>skusel@amberfieldcollege.co.za</t>
  </si>
  <si>
    <t>Stephanie</t>
  </si>
  <si>
    <t>Kusel</t>
  </si>
  <si>
    <t>Feb 5, 2026, 12:42</t>
  </si>
  <si>
    <t>Amberfield College</t>
  </si>
  <si>
    <t>user1770284308.8358</t>
  </si>
  <si>
    <t>ccoetzee@royalschools.co.za</t>
  </si>
  <si>
    <t>Claressa</t>
  </si>
  <si>
    <t>Gouws</t>
  </si>
  <si>
    <t>Feb 5, 2026, 12:31</t>
  </si>
  <si>
    <t>user1757317389.7527</t>
  </si>
  <si>
    <t>kmailula@cbcpretoria.co.za</t>
  </si>
  <si>
    <t>Kgaogelo</t>
  </si>
  <si>
    <t>Mailula</t>
  </si>
  <si>
    <t>Feb 5, 2026, 12:22</t>
  </si>
  <si>
    <t>CBC Mount Edmund</t>
  </si>
  <si>
    <t>user1769676115.9748</t>
  </si>
  <si>
    <t>rachel@prescientprimary.co.za</t>
  </si>
  <si>
    <t>Rachel</t>
  </si>
  <si>
    <t>Muller</t>
  </si>
  <si>
    <t>Feb 5, 2026, 12:00</t>
  </si>
  <si>
    <t>Prescient Primary</t>
  </si>
  <si>
    <t>user1757327710.9386</t>
  </si>
  <si>
    <t>ilze.vanwyk@reddam.house</t>
  </si>
  <si>
    <t>Ilze</t>
  </si>
  <si>
    <t>van Wyk</t>
  </si>
  <si>
    <t>Feb 5, 2026, 11:11</t>
  </si>
  <si>
    <t>Reddam House Helderfontein</t>
  </si>
  <si>
    <t>user1768210679.5859</t>
  </si>
  <si>
    <t>Grant.Allison@applewood.co.za</t>
  </si>
  <si>
    <t>Grant</t>
  </si>
  <si>
    <t>Allison</t>
  </si>
  <si>
    <t>Feb 5, 2026, 11:01</t>
  </si>
  <si>
    <t>Applewood Preparatory</t>
  </si>
  <si>
    <t>user1757925415.8532</t>
  </si>
  <si>
    <t>geeljanika875@gmail.com</t>
  </si>
  <si>
    <t>Janika</t>
  </si>
  <si>
    <t>Vermeulen</t>
  </si>
  <si>
    <t>Feb 5, 2026, 10:19</t>
  </si>
  <si>
    <t>Harriston Primary School</t>
  </si>
  <si>
    <t>user1770276916.4507</t>
  </si>
  <si>
    <t>ldebruin@royalschools.co.za</t>
  </si>
  <si>
    <t>Lucia</t>
  </si>
  <si>
    <t>de Bruin</t>
  </si>
  <si>
    <t>Feb 5, 2026, 10:06</t>
  </si>
  <si>
    <t>user1756200390.8203</t>
  </si>
  <si>
    <t>asilent@trinityhouse.co.za</t>
  </si>
  <si>
    <t>Ana</t>
  </si>
  <si>
    <t>Silent</t>
  </si>
  <si>
    <t>Feb 5, 2026, 08:58</t>
  </si>
  <si>
    <t>Trinity House</t>
  </si>
  <si>
    <t>user1769773679.2946</t>
  </si>
  <si>
    <t>zdavids@royalschools.co.za</t>
  </si>
  <si>
    <t>Zainab</t>
  </si>
  <si>
    <t>Davids</t>
  </si>
  <si>
    <t>Feb 5, 2026, 08:52</t>
  </si>
  <si>
    <t>Royal Schools Starlight Academy</t>
  </si>
  <si>
    <t>user1759233179.6581</t>
  </si>
  <si>
    <t>forgusk@stmartinprep.co.za</t>
  </si>
  <si>
    <t>Kim-lee</t>
  </si>
  <si>
    <t>Forgus</t>
  </si>
  <si>
    <t>Feb 5, 2026, 08:32</t>
  </si>
  <si>
    <t>St Martin Preparatory School</t>
  </si>
  <si>
    <t>user1759926404.3845</t>
  </si>
  <si>
    <t>martincoetsee00@gmail.com</t>
  </si>
  <si>
    <t>Martin</t>
  </si>
  <si>
    <t>Coetsee</t>
  </si>
  <si>
    <t>Feb 5, 2026, 08:27</t>
  </si>
  <si>
    <t>Kammaland Primary School</t>
  </si>
  <si>
    <t>Row Labels</t>
  </si>
  <si>
    <t>Grand Total</t>
  </si>
  <si>
    <t>(All)</t>
  </si>
  <si>
    <t>Column Labels</t>
  </si>
  <si>
    <t>Full Name</t>
  </si>
  <si>
    <t>StephanieKusel</t>
  </si>
  <si>
    <t>GrantAllison</t>
  </si>
  <si>
    <t>JanetteRelling</t>
  </si>
  <si>
    <t>KgaogeloMailula</t>
  </si>
  <si>
    <t>JessicaSpires</t>
  </si>
  <si>
    <t>JanikaVermeulen</t>
  </si>
  <si>
    <t>MartinCoetsee</t>
  </si>
  <si>
    <t>RachelMuller</t>
  </si>
  <si>
    <t>AshleyJansen</t>
  </si>
  <si>
    <t>ClaressaGouws</t>
  </si>
  <si>
    <t>Luciade Bruin</t>
  </si>
  <si>
    <t>VictorMasingi</t>
  </si>
  <si>
    <t>Ilzevan Wyk</t>
  </si>
  <si>
    <t>ZainabDavids</t>
  </si>
  <si>
    <t>KayiseKhumalo</t>
  </si>
  <si>
    <t>LehlomelaMalefane</t>
  </si>
  <si>
    <t>MatselisoMoruthane</t>
  </si>
  <si>
    <t>Kim-leeForgus</t>
  </si>
  <si>
    <t>CarienVan der Walt</t>
  </si>
  <si>
    <t>AnaSilent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</si>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</sst>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8.704498263891" createdVersion="8" refreshedVersion="8" minRefreshableVersion="3" recordCount="20" xr:uid="{2A1D1C89-39E7-424C-A127-3FA3D00CC621}">
  <cacheSource type="worksheet">
    <worksheetSource ref="A1:H21" sheet="Raw Data"/>
  </cacheSource>
  <cacheFields count="8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0">
        <s v="LehlomelaMalefane"/>
        <s v="JanetteRelling"/>
        <s v="MatselisoMoruthane"/>
        <s v="AshleyJansen"/>
        <s v="KayiseKhumalo"/>
        <s v="JessicaSpires"/>
        <s v="VictorMasingi"/>
        <s v="CarienVan der Walt"/>
        <s v="StephanieKusel"/>
        <s v="ClaressaGouws"/>
        <s v="KgaogeloMailula"/>
        <s v="RachelMuller"/>
        <s v="Ilzevan Wyk"/>
        <s v="GrantAllison"/>
        <s v="JanikaVermeulen"/>
        <s v="Luciade Bruin"/>
        <s v="AnaSilent"/>
        <s v="ZainabDavids"/>
        <s v="Kim-leeForgus"/>
        <s v="MartinCoetsee"/>
      </sharedItems>
    </cacheField>
    <cacheField name="User Roles" numFmtId="0">
      <sharedItems count="4">
        <s v="Teacher Administrator"/>
        <s v="School Administrator"/>
        <s v="Teacher"/>
        <s v="Participant"/>
      </sharedItems>
    </cacheField>
    <cacheField name="Date &amp; Time" numFmtId="0">
      <sharedItems count="20">
        <s v="Feb 5, 2026, 16:12"/>
        <s v="Feb 5, 2026, 15:16"/>
        <s v="Feb 5, 2026, 14:38"/>
        <s v="Feb 5, 2026, 14:36"/>
        <s v="Feb 5, 2026, 14:14"/>
        <s v="Feb 5, 2026, 13:02"/>
        <s v="Feb 5, 2026, 12:59"/>
        <s v="Feb 5, 2026, 12:47"/>
        <s v="Feb 5, 2026, 12:42"/>
        <s v="Feb 5, 2026, 12:31"/>
        <s v="Feb 5, 2026, 12:22"/>
        <s v="Feb 5, 2026, 12:00"/>
        <s v="Feb 5, 2026, 11:11"/>
        <s v="Feb 5, 2026, 11:01"/>
        <s v="Feb 5, 2026, 10:19"/>
        <s v="Feb 5, 2026, 10:06"/>
        <s v="Feb 5, 2026, 08:58"/>
        <s v="Feb 5, 2026, 08:52"/>
        <s v="Feb 5, 2026, 08:32"/>
        <s v="Feb 5, 2026, 08:27"/>
      </sharedItems>
    </cacheField>
    <cacheField name="School Name" numFmtId="0">
      <sharedItems count="16">
        <s v="Soofia International School"/>
        <s v="Calling Academy"/>
        <s v="Princess Park College"/>
        <s v="Sky City Primary School"/>
        <s v="Generation Schools Hermanus"/>
        <s v="The Ear Academy"/>
        <s v="Amberfield College"/>
        <s v="CBC Mount Edmund"/>
        <s v="Prescient Primary"/>
        <s v="Reddam House Helderfontein"/>
        <s v="Applewood Preparatory"/>
        <s v="Harriston Primary School"/>
        <s v="Trinity House"/>
        <s v="Royal Schools Starlight Academy"/>
        <s v="St Martin Preparatory School"/>
        <s v="Kammaland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Malefane"/>
    <s v="malefane@soofiainternational.org"/>
    <s v="Lehlomela"/>
    <s v="Malefane"/>
    <x v="0"/>
    <x v="0"/>
    <x v="0"/>
    <x v="0"/>
  </r>
  <r>
    <s v="user1769691514.5839"/>
    <s v="jrelling@callingeducation.org.za"/>
    <s v="Janette"/>
    <s v="Relling"/>
    <x v="1"/>
    <x v="1"/>
    <x v="1"/>
    <x v="1"/>
  </r>
  <r>
    <s v="user1768825581.4193"/>
    <s v="info@soofiainternational.org"/>
    <s v="Matseliso"/>
    <s v="Moruthane"/>
    <x v="2"/>
    <x v="1"/>
    <x v="2"/>
    <x v="0"/>
  </r>
  <r>
    <s v="user1770272740.9621"/>
    <s v="ajansen@royalschools.co.za"/>
    <s v="Ashley"/>
    <s v="Jansen"/>
    <x v="3"/>
    <x v="2"/>
    <x v="3"/>
    <x v="2"/>
  </r>
  <r>
    <s v="Kayise"/>
    <s v="kkhumalo@coreeducation.co.za"/>
    <s v="Kayise"/>
    <s v="Khumalo"/>
    <x v="4"/>
    <x v="1"/>
    <x v="4"/>
    <x v="3"/>
  </r>
  <r>
    <s v="user1761656501.7987"/>
    <s v="jessica.spires@generationschools.co.za"/>
    <s v="Jessica"/>
    <s v="Spires"/>
    <x v="5"/>
    <x v="2"/>
    <x v="5"/>
    <x v="4"/>
  </r>
  <r>
    <s v="user1762864676.5283"/>
    <s v="vmasingi@coreeducation.co.za"/>
    <s v="Victor"/>
    <s v="Masingi"/>
    <x v="6"/>
    <x v="1"/>
    <x v="6"/>
    <x v="2"/>
  </r>
  <r>
    <s v="user1752818206.9287"/>
    <s v="carien.v@curro.co.za"/>
    <s v="Carien"/>
    <s v="Van der Walt"/>
    <x v="7"/>
    <x v="3"/>
    <x v="7"/>
    <x v="5"/>
  </r>
  <r>
    <s v="Stephanie Kusel"/>
    <s v="skusel@amberfieldcollege.co.za"/>
    <s v="Stephanie"/>
    <s v="Kusel"/>
    <x v="8"/>
    <x v="2"/>
    <x v="8"/>
    <x v="6"/>
  </r>
  <r>
    <s v="user1770284308.8358"/>
    <s v="ccoetzee@royalschools.co.za"/>
    <s v="Claressa"/>
    <s v="Gouws"/>
    <x v="9"/>
    <x v="2"/>
    <x v="9"/>
    <x v="2"/>
  </r>
  <r>
    <s v="user1757317389.7527"/>
    <s v="kmailula@cbcpretoria.co.za"/>
    <s v="Kgaogelo"/>
    <s v="Mailula"/>
    <x v="10"/>
    <x v="1"/>
    <x v="10"/>
    <x v="7"/>
  </r>
  <r>
    <s v="user1769676115.9748"/>
    <s v="rachel@prescientprimary.co.za"/>
    <s v="Rachel"/>
    <s v="Muller"/>
    <x v="11"/>
    <x v="2"/>
    <x v="11"/>
    <x v="8"/>
  </r>
  <r>
    <s v="user1757327710.9386"/>
    <s v="ilze.vanwyk@reddam.house"/>
    <s v="Ilze"/>
    <s v="van Wyk"/>
    <x v="12"/>
    <x v="1"/>
    <x v="12"/>
    <x v="9"/>
  </r>
  <r>
    <s v="user1768210679.5859"/>
    <s v="Grant.Allison@applewood.co.za"/>
    <s v="Grant"/>
    <s v="Allison"/>
    <x v="13"/>
    <x v="1"/>
    <x v="13"/>
    <x v="10"/>
  </r>
  <r>
    <s v="user1757925415.8532"/>
    <s v="geeljanika875@gmail.com"/>
    <s v="Janika"/>
    <s v="Vermeulen"/>
    <x v="14"/>
    <x v="1"/>
    <x v="14"/>
    <x v="11"/>
  </r>
  <r>
    <s v="user1770276916.4507"/>
    <s v="ldebruin@royalschools.co.za"/>
    <s v="Lucia"/>
    <s v="de Bruin"/>
    <x v="15"/>
    <x v="2"/>
    <x v="15"/>
    <x v="2"/>
  </r>
  <r>
    <s v="user1756200390.8203"/>
    <s v="asilent@trinityhouse.co.za"/>
    <s v="Ana"/>
    <s v="Silent"/>
    <x v="16"/>
    <x v="1"/>
    <x v="16"/>
    <x v="12"/>
  </r>
  <r>
    <s v="user1769773679.2946"/>
    <s v="zdavids@royalschools.co.za"/>
    <s v="Zainab"/>
    <s v="Davids"/>
    <x v="17"/>
    <x v="2"/>
    <x v="17"/>
    <x v="13"/>
  </r>
  <r>
    <s v="user1759233179.6581"/>
    <s v="forgusk@stmartinprep.co.za"/>
    <s v="Kim-lee"/>
    <s v="Forgus"/>
    <x v="18"/>
    <x v="1"/>
    <x v="18"/>
    <x v="14"/>
  </r>
  <r>
    <s v="user1759926404.3845"/>
    <s v="martincoetsee00@gmail.com"/>
    <s v="Martin"/>
    <s v="Coetsee"/>
    <x v="19"/>
    <x v="1"/>
    <x v="19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3C3D6-EFFE-4C70-A3BA-8C8914B581AE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1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21">
        <item x="16"/>
        <item x="3"/>
        <item x="7"/>
        <item x="9"/>
        <item x="13"/>
        <item x="12"/>
        <item x="1"/>
        <item x="14"/>
        <item x="5"/>
        <item x="4"/>
        <item x="10"/>
        <item x="18"/>
        <item x="0"/>
        <item x="15"/>
        <item x="19"/>
        <item x="2"/>
        <item x="11"/>
        <item x="8"/>
        <item x="6"/>
        <item x="17"/>
        <item t="default"/>
      </items>
    </pivotField>
    <pivotField axis="axisCol" showAll="0">
      <items count="5">
        <item x="3"/>
        <item x="1"/>
        <item x="2"/>
        <item x="0"/>
        <item t="default"/>
      </items>
    </pivotField>
    <pivotField axis="axisPage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6"/>
        <item x="10"/>
        <item x="1"/>
        <item x="7"/>
        <item x="4"/>
        <item x="11"/>
        <item x="15"/>
        <item x="8"/>
        <item x="2"/>
        <item x="9"/>
        <item x="13"/>
        <item x="3"/>
        <item x="0"/>
        <item x="14"/>
        <item x="5"/>
        <item x="12"/>
        <item t="default"/>
      </items>
    </pivotField>
  </pivotFields>
  <rowFields count="2">
    <field x="7"/>
    <field x="4"/>
  </rowFields>
  <rowItems count="37">
    <i>
      <x/>
    </i>
    <i r="1">
      <x v="17"/>
    </i>
    <i>
      <x v="1"/>
    </i>
    <i r="1">
      <x v="4"/>
    </i>
    <i>
      <x v="2"/>
    </i>
    <i r="1">
      <x v="6"/>
    </i>
    <i>
      <x v="3"/>
    </i>
    <i r="1">
      <x v="10"/>
    </i>
    <i>
      <x v="4"/>
    </i>
    <i r="1">
      <x v="8"/>
    </i>
    <i>
      <x v="5"/>
    </i>
    <i r="1">
      <x v="7"/>
    </i>
    <i>
      <x v="6"/>
    </i>
    <i r="1">
      <x v="14"/>
    </i>
    <i>
      <x v="7"/>
    </i>
    <i r="1">
      <x v="16"/>
    </i>
    <i>
      <x v="8"/>
    </i>
    <i r="1">
      <x v="1"/>
    </i>
    <i r="1">
      <x v="3"/>
    </i>
    <i r="1">
      <x v="13"/>
    </i>
    <i r="1">
      <x v="18"/>
    </i>
    <i>
      <x v="9"/>
    </i>
    <i r="1">
      <x v="5"/>
    </i>
    <i>
      <x v="10"/>
    </i>
    <i r="1">
      <x v="19"/>
    </i>
    <i>
      <x v="11"/>
    </i>
    <i r="1">
      <x v="9"/>
    </i>
    <i>
      <x v="12"/>
    </i>
    <i r="1">
      <x v="12"/>
    </i>
    <i r="1">
      <x v="15"/>
    </i>
    <i>
      <x v="13"/>
    </i>
    <i r="1">
      <x v="11"/>
    </i>
    <i>
      <x v="14"/>
    </i>
    <i r="1">
      <x v="2"/>
    </i>
    <i>
      <x v="15"/>
    </i>
    <i r="1">
      <x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7022-F2DB-4AF1-8843-90267A787873}">
  <dimension ref="A1:H21"/>
  <sheetViews>
    <sheetView workbookViewId="0">
      <selection activeCell="E8" sqref="E8"/>
    </sheetView>
  </sheetViews>
  <sheetFormatPr defaultRowHeight="15" x14ac:dyDescent="0.25"/>
  <cols>
    <col min="1" max="1" width="19.7109375" bestFit="1" customWidth="1"/>
    <col min="2" max="2" width="37.5703125" bestFit="1" customWidth="1"/>
    <col min="3" max="3" width="10.7109375" bestFit="1" customWidth="1"/>
    <col min="4" max="4" width="12.140625" bestFit="1" customWidth="1"/>
    <col min="5" max="5" width="19.42578125" bestFit="1" customWidth="1"/>
    <col min="6" max="6" width="20.85546875" bestFit="1" customWidth="1"/>
    <col min="7" max="7" width="16.28515625" bestFit="1" customWidth="1"/>
    <col min="8" max="8" width="3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129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2" t="s">
        <v>8</v>
      </c>
      <c r="C2" s="2" t="s">
        <v>9</v>
      </c>
      <c r="D2" s="2" t="s">
        <v>7</v>
      </c>
      <c r="E2" s="2" t="str">
        <f>_xlfn.CONCAT(C2:D2)</f>
        <v>LehlomelaMalefane</v>
      </c>
      <c r="F2" s="2" t="s">
        <v>10</v>
      </c>
      <c r="G2" s="2" t="s">
        <v>11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tr">
        <f t="shared" ref="E3:E21" si="0">_xlfn.CONCAT(C3:D3)</f>
        <v>JanetteRelling</v>
      </c>
      <c r="F3" s="2" t="s">
        <v>17</v>
      </c>
      <c r="G3" s="2" t="s">
        <v>18</v>
      </c>
      <c r="H3" s="2" t="s">
        <v>19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tr">
        <f t="shared" si="0"/>
        <v>MatselisoMoruthane</v>
      </c>
      <c r="F4" s="2" t="s">
        <v>17</v>
      </c>
      <c r="G4" s="2" t="s">
        <v>24</v>
      </c>
      <c r="H4" s="2" t="s">
        <v>12</v>
      </c>
    </row>
    <row r="5" spans="1:8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tr">
        <f t="shared" si="0"/>
        <v>AshleyJansen</v>
      </c>
      <c r="F5" s="2" t="s">
        <v>29</v>
      </c>
      <c r="G5" s="2" t="s">
        <v>30</v>
      </c>
      <c r="H5" s="2" t="s">
        <v>31</v>
      </c>
    </row>
    <row r="6" spans="1:8" x14ac:dyDescent="0.25">
      <c r="A6" s="2" t="s">
        <v>32</v>
      </c>
      <c r="B6" s="2" t="s">
        <v>33</v>
      </c>
      <c r="C6" s="2" t="s">
        <v>32</v>
      </c>
      <c r="D6" s="2" t="s">
        <v>34</v>
      </c>
      <c r="E6" s="2" t="str">
        <f t="shared" si="0"/>
        <v>KayiseKhumalo</v>
      </c>
      <c r="F6" s="2" t="s">
        <v>17</v>
      </c>
      <c r="G6" s="2" t="s">
        <v>35</v>
      </c>
      <c r="H6" s="2" t="s">
        <v>36</v>
      </c>
    </row>
    <row r="7" spans="1:8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JessicaSpires</v>
      </c>
      <c r="F7" s="2" t="s">
        <v>29</v>
      </c>
      <c r="G7" s="2" t="s">
        <v>41</v>
      </c>
      <c r="H7" s="2" t="s">
        <v>42</v>
      </c>
    </row>
    <row r="8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tr">
        <f t="shared" si="0"/>
        <v>VictorMasingi</v>
      </c>
      <c r="F8" s="2" t="s">
        <v>17</v>
      </c>
      <c r="G8" s="2" t="s">
        <v>47</v>
      </c>
      <c r="H8" s="2" t="s">
        <v>31</v>
      </c>
    </row>
    <row r="9" spans="1:8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tr">
        <f t="shared" si="0"/>
        <v>CarienVan der Walt</v>
      </c>
      <c r="F9" s="2" t="s">
        <v>52</v>
      </c>
      <c r="G9" s="2" t="s">
        <v>53</v>
      </c>
      <c r="H9" s="2" t="s">
        <v>54</v>
      </c>
    </row>
    <row r="10" spans="1:8" x14ac:dyDescent="0.25">
      <c r="A10" s="2" t="s">
        <v>55</v>
      </c>
      <c r="B10" s="2" t="s">
        <v>56</v>
      </c>
      <c r="C10" s="2" t="s">
        <v>57</v>
      </c>
      <c r="D10" s="2" t="s">
        <v>58</v>
      </c>
      <c r="E10" s="2" t="str">
        <f t="shared" si="0"/>
        <v>StephanieKusel</v>
      </c>
      <c r="F10" s="2" t="s">
        <v>29</v>
      </c>
      <c r="G10" s="2" t="s">
        <v>59</v>
      </c>
      <c r="H10" s="2" t="s">
        <v>60</v>
      </c>
    </row>
    <row r="11" spans="1:8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tr">
        <f t="shared" si="0"/>
        <v>ClaressaGouws</v>
      </c>
      <c r="F11" s="2" t="s">
        <v>29</v>
      </c>
      <c r="G11" s="2" t="s">
        <v>65</v>
      </c>
      <c r="H11" s="2" t="s">
        <v>31</v>
      </c>
    </row>
    <row r="12" spans="1:8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tr">
        <f t="shared" si="0"/>
        <v>KgaogeloMailula</v>
      </c>
      <c r="F12" s="2" t="s">
        <v>17</v>
      </c>
      <c r="G12" s="2" t="s">
        <v>70</v>
      </c>
      <c r="H12" s="2" t="s">
        <v>71</v>
      </c>
    </row>
    <row r="13" spans="1:8" x14ac:dyDescent="0.25">
      <c r="A13" s="2" t="s">
        <v>72</v>
      </c>
      <c r="B13" s="2" t="s">
        <v>73</v>
      </c>
      <c r="C13" s="2" t="s">
        <v>74</v>
      </c>
      <c r="D13" s="2" t="s">
        <v>75</v>
      </c>
      <c r="E13" s="2" t="str">
        <f t="shared" si="0"/>
        <v>RachelMuller</v>
      </c>
      <c r="F13" s="2" t="s">
        <v>29</v>
      </c>
      <c r="G13" s="2" t="s">
        <v>76</v>
      </c>
      <c r="H13" s="2" t="s">
        <v>77</v>
      </c>
    </row>
    <row r="14" spans="1:8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tr">
        <f t="shared" si="0"/>
        <v>Ilzevan Wyk</v>
      </c>
      <c r="F14" s="2" t="s">
        <v>17</v>
      </c>
      <c r="G14" s="2" t="s">
        <v>82</v>
      </c>
      <c r="H14" s="2" t="s">
        <v>83</v>
      </c>
    </row>
    <row r="15" spans="1:8" x14ac:dyDescent="0.25">
      <c r="A15" s="2" t="s">
        <v>84</v>
      </c>
      <c r="B15" s="2" t="s">
        <v>85</v>
      </c>
      <c r="C15" s="2" t="s">
        <v>86</v>
      </c>
      <c r="D15" s="2" t="s">
        <v>87</v>
      </c>
      <c r="E15" s="2" t="str">
        <f t="shared" si="0"/>
        <v>GrantAllison</v>
      </c>
      <c r="F15" s="2" t="s">
        <v>17</v>
      </c>
      <c r="G15" s="2" t="s">
        <v>88</v>
      </c>
      <c r="H15" s="2" t="s">
        <v>89</v>
      </c>
    </row>
    <row r="16" spans="1:8" x14ac:dyDescent="0.25">
      <c r="A16" s="2" t="s">
        <v>90</v>
      </c>
      <c r="B16" s="2" t="s">
        <v>91</v>
      </c>
      <c r="C16" s="2" t="s">
        <v>92</v>
      </c>
      <c r="D16" s="2" t="s">
        <v>93</v>
      </c>
      <c r="E16" s="2" t="str">
        <f t="shared" si="0"/>
        <v>JanikaVermeulen</v>
      </c>
      <c r="F16" s="2" t="s">
        <v>17</v>
      </c>
      <c r="G16" s="2" t="s">
        <v>94</v>
      </c>
      <c r="H16" s="2" t="s">
        <v>95</v>
      </c>
    </row>
    <row r="17" spans="1:8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tr">
        <f t="shared" si="0"/>
        <v>Luciade Bruin</v>
      </c>
      <c r="F17" s="2" t="s">
        <v>29</v>
      </c>
      <c r="G17" s="2" t="s">
        <v>100</v>
      </c>
      <c r="H17" s="2" t="s">
        <v>31</v>
      </c>
    </row>
    <row r="18" spans="1:8" x14ac:dyDescent="0.25">
      <c r="A18" s="2" t="s">
        <v>101</v>
      </c>
      <c r="B18" s="2" t="s">
        <v>102</v>
      </c>
      <c r="C18" s="2" t="s">
        <v>103</v>
      </c>
      <c r="D18" s="2" t="s">
        <v>104</v>
      </c>
      <c r="E18" s="2" t="str">
        <f t="shared" si="0"/>
        <v>AnaSilent</v>
      </c>
      <c r="F18" s="2" t="s">
        <v>17</v>
      </c>
      <c r="G18" s="2" t="s">
        <v>105</v>
      </c>
      <c r="H18" s="2" t="s">
        <v>106</v>
      </c>
    </row>
    <row r="19" spans="1:8" x14ac:dyDescent="0.25">
      <c r="A19" s="2" t="s">
        <v>107</v>
      </c>
      <c r="B19" s="2" t="s">
        <v>108</v>
      </c>
      <c r="C19" s="2" t="s">
        <v>109</v>
      </c>
      <c r="D19" s="2" t="s">
        <v>110</v>
      </c>
      <c r="E19" s="2" t="str">
        <f t="shared" si="0"/>
        <v>ZainabDavids</v>
      </c>
      <c r="F19" s="2" t="s">
        <v>29</v>
      </c>
      <c r="G19" s="2" t="s">
        <v>111</v>
      </c>
      <c r="H19" s="2" t="s">
        <v>112</v>
      </c>
    </row>
    <row r="20" spans="1:8" x14ac:dyDescent="0.25">
      <c r="A20" s="2" t="s">
        <v>113</v>
      </c>
      <c r="B20" s="2" t="s">
        <v>114</v>
      </c>
      <c r="C20" s="2" t="s">
        <v>115</v>
      </c>
      <c r="D20" s="2" t="s">
        <v>116</v>
      </c>
      <c r="E20" s="2" t="str">
        <f t="shared" si="0"/>
        <v>Kim-leeForgus</v>
      </c>
      <c r="F20" s="2" t="s">
        <v>17</v>
      </c>
      <c r="G20" s="2" t="s">
        <v>117</v>
      </c>
      <c r="H20" s="2" t="s">
        <v>118</v>
      </c>
    </row>
    <row r="21" spans="1:8" x14ac:dyDescent="0.25">
      <c r="A21" s="2" t="s">
        <v>119</v>
      </c>
      <c r="B21" s="2" t="s">
        <v>120</v>
      </c>
      <c r="C21" s="2" t="s">
        <v>121</v>
      </c>
      <c r="D21" s="2" t="s">
        <v>122</v>
      </c>
      <c r="E21" s="2" t="str">
        <f t="shared" si="0"/>
        <v>MartinCoetsee</v>
      </c>
      <c r="F21" s="2" t="s">
        <v>17</v>
      </c>
      <c r="G21" s="2" t="s">
        <v>123</v>
      </c>
      <c r="H21" s="2" t="s">
        <v>124</v>
      </c>
    </row>
  </sheetData>
  <autoFilter ref="A1:H21" xr:uid="{E3C87022-F2DB-4AF1-8843-90267A78787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626DF-D157-4EB6-996D-BFEF0FCD1D1A}">
  <dimension ref="A1:F41"/>
  <sheetViews>
    <sheetView tabSelected="1" topLeftCell="A7" workbookViewId="0"/>
  </sheetViews>
  <sheetFormatPr defaultRowHeight="15" x14ac:dyDescent="0.25"/>
  <cols>
    <col min="1" max="1" width="32.710937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21.140625" bestFit="1" customWidth="1"/>
    <col min="6" max="6" width="11.28515625" bestFit="1" customWidth="1"/>
  </cols>
  <sheetData>
    <row r="1" spans="1:6" x14ac:dyDescent="0.25">
      <c r="A1" s="3" t="s">
        <v>5</v>
      </c>
      <c r="B1" t="s">
        <v>127</v>
      </c>
    </row>
    <row r="3" spans="1:6" x14ac:dyDescent="0.25">
      <c r="A3" s="3" t="s">
        <v>150</v>
      </c>
      <c r="B3" s="3" t="s">
        <v>128</v>
      </c>
    </row>
    <row r="4" spans="1:6" x14ac:dyDescent="0.25">
      <c r="A4" s="3" t="s">
        <v>125</v>
      </c>
      <c r="B4" t="s">
        <v>52</v>
      </c>
      <c r="C4" t="s">
        <v>17</v>
      </c>
      <c r="D4" t="s">
        <v>29</v>
      </c>
      <c r="E4" t="s">
        <v>10</v>
      </c>
      <c r="F4" t="s">
        <v>126</v>
      </c>
    </row>
    <row r="5" spans="1:6" x14ac:dyDescent="0.25">
      <c r="A5" s="4" t="s">
        <v>60</v>
      </c>
      <c r="B5" s="6"/>
      <c r="C5" s="6"/>
      <c r="D5" s="6">
        <v>1</v>
      </c>
      <c r="E5" s="6"/>
      <c r="F5" s="6">
        <v>1</v>
      </c>
    </row>
    <row r="6" spans="1:6" x14ac:dyDescent="0.25">
      <c r="A6" s="5" t="s">
        <v>130</v>
      </c>
      <c r="B6" s="6"/>
      <c r="C6" s="6"/>
      <c r="D6" s="6">
        <v>1</v>
      </c>
      <c r="E6" s="6"/>
      <c r="F6" s="6">
        <v>1</v>
      </c>
    </row>
    <row r="7" spans="1:6" x14ac:dyDescent="0.25">
      <c r="A7" s="4" t="s">
        <v>89</v>
      </c>
      <c r="B7" s="6"/>
      <c r="C7" s="6">
        <v>1</v>
      </c>
      <c r="D7" s="6"/>
      <c r="E7" s="6"/>
      <c r="F7" s="6">
        <v>1</v>
      </c>
    </row>
    <row r="8" spans="1:6" x14ac:dyDescent="0.25">
      <c r="A8" s="5" t="s">
        <v>131</v>
      </c>
      <c r="B8" s="6"/>
      <c r="C8" s="6">
        <v>1</v>
      </c>
      <c r="D8" s="6"/>
      <c r="E8" s="6"/>
      <c r="F8" s="6">
        <v>1</v>
      </c>
    </row>
    <row r="9" spans="1:6" x14ac:dyDescent="0.25">
      <c r="A9" s="4" t="s">
        <v>19</v>
      </c>
      <c r="B9" s="6"/>
      <c r="C9" s="6">
        <v>1</v>
      </c>
      <c r="D9" s="6"/>
      <c r="E9" s="6"/>
      <c r="F9" s="6">
        <v>1</v>
      </c>
    </row>
    <row r="10" spans="1:6" x14ac:dyDescent="0.25">
      <c r="A10" s="5" t="s">
        <v>132</v>
      </c>
      <c r="B10" s="6"/>
      <c r="C10" s="6">
        <v>1</v>
      </c>
      <c r="D10" s="6"/>
      <c r="E10" s="6"/>
      <c r="F10" s="6">
        <v>1</v>
      </c>
    </row>
    <row r="11" spans="1:6" x14ac:dyDescent="0.25">
      <c r="A11" s="4" t="s">
        <v>71</v>
      </c>
      <c r="B11" s="6"/>
      <c r="C11" s="6">
        <v>1</v>
      </c>
      <c r="D11" s="6"/>
      <c r="E11" s="6"/>
      <c r="F11" s="6">
        <v>1</v>
      </c>
    </row>
    <row r="12" spans="1:6" x14ac:dyDescent="0.25">
      <c r="A12" s="5" t="s">
        <v>133</v>
      </c>
      <c r="B12" s="6"/>
      <c r="C12" s="6">
        <v>1</v>
      </c>
      <c r="D12" s="6"/>
      <c r="E12" s="6"/>
      <c r="F12" s="6">
        <v>1</v>
      </c>
    </row>
    <row r="13" spans="1:6" x14ac:dyDescent="0.25">
      <c r="A13" s="4" t="s">
        <v>42</v>
      </c>
      <c r="B13" s="6"/>
      <c r="C13" s="6"/>
      <c r="D13" s="6">
        <v>1</v>
      </c>
      <c r="E13" s="6"/>
      <c r="F13" s="6">
        <v>1</v>
      </c>
    </row>
    <row r="14" spans="1:6" x14ac:dyDescent="0.25">
      <c r="A14" s="5" t="s">
        <v>134</v>
      </c>
      <c r="B14" s="6"/>
      <c r="C14" s="6"/>
      <c r="D14" s="6">
        <v>1</v>
      </c>
      <c r="E14" s="6"/>
      <c r="F14" s="6">
        <v>1</v>
      </c>
    </row>
    <row r="15" spans="1:6" x14ac:dyDescent="0.25">
      <c r="A15" s="4" t="s">
        <v>95</v>
      </c>
      <c r="B15" s="6"/>
      <c r="C15" s="6">
        <v>1</v>
      </c>
      <c r="D15" s="6"/>
      <c r="E15" s="6"/>
      <c r="F15" s="6">
        <v>1</v>
      </c>
    </row>
    <row r="16" spans="1:6" x14ac:dyDescent="0.25">
      <c r="A16" s="5" t="s">
        <v>135</v>
      </c>
      <c r="B16" s="6"/>
      <c r="C16" s="6">
        <v>1</v>
      </c>
      <c r="D16" s="6"/>
      <c r="E16" s="6"/>
      <c r="F16" s="6">
        <v>1</v>
      </c>
    </row>
    <row r="17" spans="1:6" x14ac:dyDescent="0.25">
      <c r="A17" s="4" t="s">
        <v>124</v>
      </c>
      <c r="B17" s="6"/>
      <c r="C17" s="6">
        <v>1</v>
      </c>
      <c r="D17" s="6"/>
      <c r="E17" s="6"/>
      <c r="F17" s="6">
        <v>1</v>
      </c>
    </row>
    <row r="18" spans="1:6" x14ac:dyDescent="0.25">
      <c r="A18" s="5" t="s">
        <v>136</v>
      </c>
      <c r="B18" s="6"/>
      <c r="C18" s="6">
        <v>1</v>
      </c>
      <c r="D18" s="6"/>
      <c r="E18" s="6"/>
      <c r="F18" s="6">
        <v>1</v>
      </c>
    </row>
    <row r="19" spans="1:6" x14ac:dyDescent="0.25">
      <c r="A19" s="4" t="s">
        <v>77</v>
      </c>
      <c r="B19" s="6"/>
      <c r="C19" s="6"/>
      <c r="D19" s="6">
        <v>1</v>
      </c>
      <c r="E19" s="6"/>
      <c r="F19" s="6">
        <v>1</v>
      </c>
    </row>
    <row r="20" spans="1:6" x14ac:dyDescent="0.25">
      <c r="A20" s="5" t="s">
        <v>137</v>
      </c>
      <c r="B20" s="6"/>
      <c r="C20" s="6"/>
      <c r="D20" s="6">
        <v>1</v>
      </c>
      <c r="E20" s="6"/>
      <c r="F20" s="6">
        <v>1</v>
      </c>
    </row>
    <row r="21" spans="1:6" x14ac:dyDescent="0.25">
      <c r="A21" s="4" t="s">
        <v>31</v>
      </c>
      <c r="B21" s="6"/>
      <c r="C21" s="6">
        <v>1</v>
      </c>
      <c r="D21" s="6">
        <v>3</v>
      </c>
      <c r="E21" s="6"/>
      <c r="F21" s="6">
        <v>4</v>
      </c>
    </row>
    <row r="22" spans="1:6" x14ac:dyDescent="0.25">
      <c r="A22" s="5" t="s">
        <v>138</v>
      </c>
      <c r="B22" s="6"/>
      <c r="C22" s="6"/>
      <c r="D22" s="6">
        <v>1</v>
      </c>
      <c r="E22" s="6"/>
      <c r="F22" s="6">
        <v>1</v>
      </c>
    </row>
    <row r="23" spans="1:6" x14ac:dyDescent="0.25">
      <c r="A23" s="5" t="s">
        <v>139</v>
      </c>
      <c r="B23" s="6"/>
      <c r="C23" s="6"/>
      <c r="D23" s="6">
        <v>1</v>
      </c>
      <c r="E23" s="6"/>
      <c r="F23" s="6">
        <v>1</v>
      </c>
    </row>
    <row r="24" spans="1:6" x14ac:dyDescent="0.25">
      <c r="A24" s="5" t="s">
        <v>140</v>
      </c>
      <c r="B24" s="6"/>
      <c r="C24" s="6"/>
      <c r="D24" s="6">
        <v>1</v>
      </c>
      <c r="E24" s="6"/>
      <c r="F24" s="6">
        <v>1</v>
      </c>
    </row>
    <row r="25" spans="1:6" x14ac:dyDescent="0.25">
      <c r="A25" s="5" t="s">
        <v>141</v>
      </c>
      <c r="B25" s="6"/>
      <c r="C25" s="6">
        <v>1</v>
      </c>
      <c r="D25" s="6"/>
      <c r="E25" s="6"/>
      <c r="F25" s="6">
        <v>1</v>
      </c>
    </row>
    <row r="26" spans="1:6" x14ac:dyDescent="0.25">
      <c r="A26" s="4" t="s">
        <v>83</v>
      </c>
      <c r="B26" s="6"/>
      <c r="C26" s="6">
        <v>1</v>
      </c>
      <c r="D26" s="6"/>
      <c r="E26" s="6"/>
      <c r="F26" s="6">
        <v>1</v>
      </c>
    </row>
    <row r="27" spans="1:6" x14ac:dyDescent="0.25">
      <c r="A27" s="5" t="s">
        <v>142</v>
      </c>
      <c r="B27" s="6"/>
      <c r="C27" s="6">
        <v>1</v>
      </c>
      <c r="D27" s="6"/>
      <c r="E27" s="6"/>
      <c r="F27" s="6">
        <v>1</v>
      </c>
    </row>
    <row r="28" spans="1:6" x14ac:dyDescent="0.25">
      <c r="A28" s="4" t="s">
        <v>112</v>
      </c>
      <c r="B28" s="6"/>
      <c r="C28" s="6"/>
      <c r="D28" s="6">
        <v>1</v>
      </c>
      <c r="E28" s="6"/>
      <c r="F28" s="6">
        <v>1</v>
      </c>
    </row>
    <row r="29" spans="1:6" x14ac:dyDescent="0.25">
      <c r="A29" s="5" t="s">
        <v>143</v>
      </c>
      <c r="B29" s="6"/>
      <c r="C29" s="6"/>
      <c r="D29" s="6">
        <v>1</v>
      </c>
      <c r="E29" s="6"/>
      <c r="F29" s="6">
        <v>1</v>
      </c>
    </row>
    <row r="30" spans="1:6" x14ac:dyDescent="0.25">
      <c r="A30" s="4" t="s">
        <v>36</v>
      </c>
      <c r="B30" s="6"/>
      <c r="C30" s="6">
        <v>1</v>
      </c>
      <c r="D30" s="6"/>
      <c r="E30" s="6"/>
      <c r="F30" s="6">
        <v>1</v>
      </c>
    </row>
    <row r="31" spans="1:6" x14ac:dyDescent="0.25">
      <c r="A31" s="5" t="s">
        <v>144</v>
      </c>
      <c r="B31" s="6"/>
      <c r="C31" s="6">
        <v>1</v>
      </c>
      <c r="D31" s="6"/>
      <c r="E31" s="6"/>
      <c r="F31" s="6">
        <v>1</v>
      </c>
    </row>
    <row r="32" spans="1:6" x14ac:dyDescent="0.25">
      <c r="A32" s="4" t="s">
        <v>12</v>
      </c>
      <c r="B32" s="6"/>
      <c r="C32" s="6">
        <v>1</v>
      </c>
      <c r="D32" s="6"/>
      <c r="E32" s="6">
        <v>1</v>
      </c>
      <c r="F32" s="6">
        <v>2</v>
      </c>
    </row>
    <row r="33" spans="1:6" x14ac:dyDescent="0.25">
      <c r="A33" s="5" t="s">
        <v>145</v>
      </c>
      <c r="B33" s="6"/>
      <c r="C33" s="6"/>
      <c r="D33" s="6"/>
      <c r="E33" s="6">
        <v>1</v>
      </c>
      <c r="F33" s="6">
        <v>1</v>
      </c>
    </row>
    <row r="34" spans="1:6" x14ac:dyDescent="0.25">
      <c r="A34" s="5" t="s">
        <v>146</v>
      </c>
      <c r="B34" s="6"/>
      <c r="C34" s="6">
        <v>1</v>
      </c>
      <c r="D34" s="6"/>
      <c r="E34" s="6"/>
      <c r="F34" s="6">
        <v>1</v>
      </c>
    </row>
    <row r="35" spans="1:6" x14ac:dyDescent="0.25">
      <c r="A35" s="4" t="s">
        <v>118</v>
      </c>
      <c r="B35" s="6"/>
      <c r="C35" s="6">
        <v>1</v>
      </c>
      <c r="D35" s="6"/>
      <c r="E35" s="6"/>
      <c r="F35" s="6">
        <v>1</v>
      </c>
    </row>
    <row r="36" spans="1:6" x14ac:dyDescent="0.25">
      <c r="A36" s="5" t="s">
        <v>147</v>
      </c>
      <c r="B36" s="6"/>
      <c r="C36" s="6">
        <v>1</v>
      </c>
      <c r="D36" s="6"/>
      <c r="E36" s="6"/>
      <c r="F36" s="6">
        <v>1</v>
      </c>
    </row>
    <row r="37" spans="1:6" x14ac:dyDescent="0.25">
      <c r="A37" s="4" t="s">
        <v>54</v>
      </c>
      <c r="B37" s="6">
        <v>1</v>
      </c>
      <c r="C37" s="6"/>
      <c r="D37" s="6"/>
      <c r="E37" s="6"/>
      <c r="F37" s="6">
        <v>1</v>
      </c>
    </row>
    <row r="38" spans="1:6" x14ac:dyDescent="0.25">
      <c r="A38" s="5" t="s">
        <v>148</v>
      </c>
      <c r="B38" s="6">
        <v>1</v>
      </c>
      <c r="C38" s="6"/>
      <c r="D38" s="6"/>
      <c r="E38" s="6"/>
      <c r="F38" s="6">
        <v>1</v>
      </c>
    </row>
    <row r="39" spans="1:6" x14ac:dyDescent="0.25">
      <c r="A39" s="4" t="s">
        <v>106</v>
      </c>
      <c r="B39" s="6"/>
      <c r="C39" s="6">
        <v>1</v>
      </c>
      <c r="D39" s="6"/>
      <c r="E39" s="6"/>
      <c r="F39" s="6">
        <v>1</v>
      </c>
    </row>
    <row r="40" spans="1:6" x14ac:dyDescent="0.25">
      <c r="A40" s="5" t="s">
        <v>149</v>
      </c>
      <c r="B40" s="6"/>
      <c r="C40" s="6">
        <v>1</v>
      </c>
      <c r="D40" s="6"/>
      <c r="E40" s="6"/>
      <c r="F40" s="6">
        <v>1</v>
      </c>
    </row>
    <row r="41" spans="1:6" x14ac:dyDescent="0.25">
      <c r="A41" s="4" t="s">
        <v>126</v>
      </c>
      <c r="B41" s="6">
        <v>1</v>
      </c>
      <c r="C41" s="6">
        <v>11</v>
      </c>
      <c r="D41" s="6">
        <v>7</v>
      </c>
      <c r="E41" s="6">
        <v>1</v>
      </c>
      <c r="F41" s="6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621F0C-AA98-4D57-A6E4-427FD0D31184}"/>
</file>

<file path=customXml/itemProps2.xml><?xml version="1.0" encoding="utf-8"?>
<ds:datastoreItem xmlns:ds="http://schemas.openxmlformats.org/officeDocument/2006/customXml" ds:itemID="{803919FE-D84A-4E30-90E4-9DB9E20B2E17}"/>
</file>

<file path=customXml/itemProps3.xml><?xml version="1.0" encoding="utf-8"?>
<ds:datastoreItem xmlns:ds="http://schemas.openxmlformats.org/officeDocument/2006/customXml" ds:itemID="{92502A18-9366-4283-9BEE-FDE61B3DFD4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2026-02-05T14:52:08Z</dcterms:created>
  <dcterms:modified xsi:type="dcterms:W3CDTF">2026-02-05T14:55:46Z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