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8C82338D-6A47-4232-815E-20AFFE86CFF0}" xr6:coauthVersionLast="47" xr6:coauthVersionMax="47" xr10:uidLastSave="{00000000-0000-0000-0000-000000000000}"/>
  <bookViews>
    <workbookView xWindow="3855" yWindow="3855" windowWidth="21600" windowHeight="11295" activeTab="1" xr2:uid="{17CD12A1-B655-4FDD-982F-2899A8BB13F6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<sst xmlns="http://schemas.openxmlformats.org/spreadsheetml/2006/main" count="133" uniqueCount="85">
  <si>
    <t>Participant</t>
  </si>
  <si>
    <t>Koa Academy</t>
  </si>
  <si>
    <t>user1784623972.1911</t>
  </si>
  <si>
    <t>tim@bayprimary.co.za</t>
  </si>
  <si>
    <t>Tim</t>
  </si>
  <si>
    <t>Hoffman</t>
  </si>
  <si>
    <t>Teacher</t>
  </si>
  <si>
    <t>Friday, 21 August 2026 at 13:26</t>
  </si>
  <si>
    <t>Bay Primary</t>
  </si>
  <si>
    <t>user1773996164.8537</t>
  </si>
  <si>
    <t>etonsing@acudeo.co.za</t>
  </si>
  <si>
    <t>Elisabeth</t>
  </si>
  <si>
    <t>Tönsing</t>
  </si>
  <si>
    <t>Friday, 21 August 2026 at 13:05</t>
  </si>
  <si>
    <t>Acudeo Crystal Park</t>
  </si>
  <si>
    <t>user1784663023.7341</t>
  </si>
  <si>
    <t>19568cp@acudeo.co.za</t>
  </si>
  <si>
    <t>Lesedi</t>
  </si>
  <si>
    <t>Masipa</t>
  </si>
  <si>
    <t>Friday, 21 August 2026 at 12:55</t>
  </si>
  <si>
    <t>user1778071290.4628</t>
  </si>
  <si>
    <t>music@pnps.co.za</t>
  </si>
  <si>
    <t>Bramlin</t>
  </si>
  <si>
    <t>Solomons</t>
  </si>
  <si>
    <t>School Administrator</t>
  </si>
  <si>
    <t>Friday, 21 August 2026 at 12:54</t>
  </si>
  <si>
    <t>Pinelands North Primary School</t>
  </si>
  <si>
    <t>Funneh</t>
  </si>
  <si>
    <t>19450cp@acudeo.co.za</t>
  </si>
  <si>
    <t>Lonwabo</t>
  </si>
  <si>
    <t>Dlali</t>
  </si>
  <si>
    <t>Friday, 21 August 2026 at 11:12</t>
  </si>
  <si>
    <t>user1784662930.2325</t>
  </si>
  <si>
    <t>Friday, 21 August 2026 at 11:10</t>
  </si>
  <si>
    <t>user1785312030.5339</t>
  </si>
  <si>
    <t>22129634@mylife.unisa.ac.za</t>
  </si>
  <si>
    <t>Caitlyn</t>
  </si>
  <si>
    <t>Du-plessis</t>
  </si>
  <si>
    <t>Friday, 21 August 2026 at 09:17</t>
  </si>
  <si>
    <t>Kammaland Primary School</t>
  </si>
  <si>
    <t>Lan</t>
  </si>
  <si>
    <t>landile.mdingi@phs.org.za</t>
  </si>
  <si>
    <t>Landile</t>
  </si>
  <si>
    <t>Mdingi</t>
  </si>
  <si>
    <t>Friday, 21 August 2026 at 08:55</t>
  </si>
  <si>
    <t>Pinelands High School</t>
  </si>
  <si>
    <t>user1751548003.2545</t>
  </si>
  <si>
    <t>pearlmusic67@gmail.com</t>
  </si>
  <si>
    <t>Pearl</t>
  </si>
  <si>
    <t>Phillips</t>
  </si>
  <si>
    <t>Friday, 21 August 2026 at 07:31</t>
  </si>
  <si>
    <t>Danie Ackermann Primary</t>
  </si>
  <si>
    <t>Isa_5104</t>
  </si>
  <si>
    <t>isabellechege@koaacademy.com</t>
  </si>
  <si>
    <t>Isabelle</t>
  </si>
  <si>
    <t>Chege</t>
  </si>
  <si>
    <t>Friday, 21 August 2026 at 07:21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</si>
  <si>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</si>
  <si>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</si>
  <si>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</si>
  <si>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</si>
  <si>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</si>
  <si>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</si>
  <si>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</si>
  <si>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</si>
  <si>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</si>
  <si>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Instrumental</t>
  </si>
  <si>
    <t>Classroom</t>
  </si>
  <si>
    <t>Classroom &amp; Instrumental</t>
  </si>
  <si>
    <t xml:space="preserve">Paying </t>
  </si>
  <si>
    <t>Full Name</t>
  </si>
  <si>
    <t>Row Labels</t>
  </si>
  <si>
    <t>Grand Total</t>
  </si>
  <si>
    <t>(All)</t>
  </si>
  <si>
    <t>Column Labels</t>
  </si>
  <si>
    <t>ElisabethTönsing</t>
  </si>
  <si>
    <t>LesediMasipa</t>
  </si>
  <si>
    <t>LonwaboDlali</t>
  </si>
  <si>
    <t>TimHoffman</t>
  </si>
  <si>
    <t>PearlPhillips</t>
  </si>
  <si>
    <t>CaitlynDu-plessis</t>
  </si>
  <si>
    <t>IsabelleChege</t>
  </si>
  <si>
    <t>LandileMdingi</t>
  </si>
  <si>
    <t>BramlinSolomons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</si>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</sst>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55.624426504626" createdVersion="8" refreshedVersion="8" minRefreshableVersion="3" recordCount="10" xr:uid="{6685A553-446A-42AE-B7B4-54DB588374E3}">
  <cacheSource type="worksheet">
    <worksheetSource ref="A1:J11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9">
        <s v="TimHoffman"/>
        <s v="ElisabethTönsing"/>
        <s v="LesediMasipa"/>
        <s v="BramlinSolomons"/>
        <s v="LonwaboDlali"/>
        <s v="CaitlynDu-plessis"/>
        <s v="LandileMdingi"/>
        <s v="PearlPhillips"/>
        <s v="IsabelleChege"/>
      </sharedItems>
    </cacheField>
    <cacheField name="UserRoles" numFmtId="0">
      <sharedItems count="3">
        <s v="Teacher"/>
        <s v="Participant"/>
        <s v="School Administrator"/>
      </sharedItems>
    </cacheField>
    <cacheField name="Date &amp; Time" numFmtId="0">
      <sharedItems count="10">
        <s v="Friday, 21 August 2026 at 13:26"/>
        <s v="Friday, 21 August 2026 at 13:05"/>
        <s v="Friday, 21 August 2026 at 12:55"/>
        <s v="Friday, 21 August 2026 at 12:54"/>
        <s v="Friday, 21 August 2026 at 11:12"/>
        <s v="Friday, 21 August 2026 at 11:10"/>
        <s v="Friday, 21 August 2026 at 09:17"/>
        <s v="Friday, 21 August 2026 at 08:55"/>
        <s v="Friday, 21 August 2026 at 07:31"/>
        <s v="Friday, 21 August 2026 at 07:21"/>
      </sharedItems>
    </cacheField>
    <cacheField name="School Name" numFmtId="0">
      <sharedItems count="7">
        <s v="Bay Primary"/>
        <s v="Acudeo Crystal Park"/>
        <s v="Pinelands North Primary School"/>
        <s v="Kammaland Primary School"/>
        <s v="Pinelands High School"/>
        <s v="Danie Ackermann Primary"/>
        <s v="Koa Academy"/>
      </sharedItems>
    </cacheField>
    <cacheField name="Product Type" numFmtId="0">
      <sharedItems count="3">
        <s v="Classroom"/>
        <s v="Classroom &amp; Instrumental"/>
        <s v="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user1784623972.1911"/>
    <s v="tim@bayprimary.co.za"/>
    <s v="Tim"/>
    <s v="Hoffman"/>
    <x v="0"/>
    <x v="0"/>
    <x v="0"/>
    <x v="0"/>
    <x v="0"/>
    <s v="Paying "/>
  </r>
  <r>
    <s v="user1773996164.8537"/>
    <s v="etonsing@acudeo.co.za"/>
    <s v="Elisabeth"/>
    <s v="Tönsing"/>
    <x v="1"/>
    <x v="0"/>
    <x v="1"/>
    <x v="1"/>
    <x v="1"/>
    <s v="Paying "/>
  </r>
  <r>
    <s v="user1784663023.7341"/>
    <s v="19568cp@acudeo.co.za"/>
    <s v="Lesedi"/>
    <s v="Masipa"/>
    <x v="2"/>
    <x v="1"/>
    <x v="2"/>
    <x v="1"/>
    <x v="1"/>
    <s v="Paying "/>
  </r>
  <r>
    <s v="user1778071290.4628"/>
    <s v="music@pnps.co.za"/>
    <s v="Bramlin"/>
    <s v="Solomons"/>
    <x v="3"/>
    <x v="2"/>
    <x v="3"/>
    <x v="2"/>
    <x v="0"/>
    <s v="Paying "/>
  </r>
  <r>
    <s v="Funneh"/>
    <s v="19450cp@acudeo.co.za"/>
    <s v="Lonwabo"/>
    <s v="Dlali"/>
    <x v="4"/>
    <x v="1"/>
    <x v="4"/>
    <x v="1"/>
    <x v="1"/>
    <s v="Paying "/>
  </r>
  <r>
    <s v="user1784662930.2325"/>
    <s v="19450cp@acudeo.co.za"/>
    <s v="Lonwabo"/>
    <s v="Dlali"/>
    <x v="4"/>
    <x v="1"/>
    <x v="5"/>
    <x v="1"/>
    <x v="1"/>
    <s v="Paying "/>
  </r>
  <r>
    <s v="user1785312030.5339"/>
    <s v="22129634@mylife.unisa.ac.za"/>
    <s v="Caitlyn"/>
    <s v="Du-plessis"/>
    <x v="5"/>
    <x v="0"/>
    <x v="6"/>
    <x v="3"/>
    <x v="0"/>
    <s v="Paying "/>
  </r>
  <r>
    <s v="Lan"/>
    <s v="landile.mdingi@phs.org.za"/>
    <s v="Landile"/>
    <s v="Mdingi"/>
    <x v="6"/>
    <x v="1"/>
    <x v="7"/>
    <x v="4"/>
    <x v="2"/>
    <s v="Paying "/>
  </r>
  <r>
    <s v="user1751548003.2545"/>
    <s v="pearlmusic67@gmail.com"/>
    <s v="Pearl"/>
    <s v="Phillips"/>
    <x v="7"/>
    <x v="2"/>
    <x v="8"/>
    <x v="5"/>
    <x v="0"/>
    <s v="Paying "/>
  </r>
  <r>
    <s v="Isa_5104"/>
    <s v="isabellechege@koaacademy.com"/>
    <s v="Isabelle"/>
    <s v="Chege"/>
    <x v="8"/>
    <x v="1"/>
    <x v="9"/>
    <x v="6"/>
    <x v="2"/>
    <s v="Paying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94D60-7664-4E4F-A1A6-64DC3193343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8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10">
        <item x="3"/>
        <item x="5"/>
        <item x="1"/>
        <item x="8"/>
        <item x="6"/>
        <item x="2"/>
        <item x="4"/>
        <item x="7"/>
        <item x="0"/>
        <item t="default"/>
      </items>
    </pivotField>
    <pivotField axis="axisCol" showAll="0">
      <items count="4">
        <item x="1"/>
        <item x="2"/>
        <item x="0"/>
        <item t="default"/>
      </items>
    </pivotField>
    <pivotField axis="axisPage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8">
        <item x="1"/>
        <item x="0"/>
        <item x="5"/>
        <item x="3"/>
        <item x="6"/>
        <item x="4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</pivotFields>
  <rowFields count="3">
    <field x="7"/>
    <field x="8"/>
    <field x="4"/>
  </rowFields>
  <rowItems count="24">
    <i>
      <x/>
    </i>
    <i r="1">
      <x v="1"/>
    </i>
    <i r="2">
      <x v="2"/>
    </i>
    <i r="2">
      <x v="5"/>
    </i>
    <i r="2">
      <x v="6"/>
    </i>
    <i>
      <x v="1"/>
    </i>
    <i r="1">
      <x/>
    </i>
    <i r="2">
      <x v="8"/>
    </i>
    <i>
      <x v="2"/>
    </i>
    <i r="1">
      <x/>
    </i>
    <i r="2">
      <x v="7"/>
    </i>
    <i>
      <x v="3"/>
    </i>
    <i r="1">
      <x/>
    </i>
    <i r="2">
      <x v="1"/>
    </i>
    <i>
      <x v="4"/>
    </i>
    <i r="1">
      <x v="2"/>
    </i>
    <i r="2">
      <x v="3"/>
    </i>
    <i>
      <x v="5"/>
    </i>
    <i r="1">
      <x v="2"/>
    </i>
    <i r="2">
      <x v="4"/>
    </i>
    <i>
      <x v="6"/>
    </i>
    <i r="1">
      <x/>
    </i>
    <i r="2">
      <x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5945-3CF1-44A8-ACBA-BAA199BC7903}">
  <dimension ref="A1:J11"/>
  <sheetViews>
    <sheetView topLeftCell="B1" workbookViewId="0">
      <selection activeCell="A10" sqref="A10"/>
    </sheetView>
  </sheetViews>
  <sheetFormatPr defaultRowHeight="15" x14ac:dyDescent="0.25"/>
  <cols>
    <col min="1" max="1" width="21.140625" bestFit="1" customWidth="1"/>
    <col min="2" max="2" width="38.5703125" bestFit="1" customWidth="1"/>
    <col min="3" max="3" width="12" bestFit="1" customWidth="1"/>
    <col min="4" max="4" width="10.42578125" bestFit="1" customWidth="1"/>
    <col min="5" max="5" width="17" bestFit="1" customWidth="1"/>
    <col min="6" max="6" width="19.85546875" bestFit="1" customWidth="1"/>
    <col min="7" max="7" width="30.85546875" bestFit="1" customWidth="1"/>
    <col min="8" max="8" width="29.85546875" bestFit="1" customWidth="1"/>
    <col min="9" max="9" width="24.42578125" bestFit="1" customWidth="1"/>
  </cols>
  <sheetData>
    <row r="1" spans="1:10" x14ac:dyDescent="0.25">
      <c r="A1" s="2" t="s">
        <v>57</v>
      </c>
      <c r="B1" s="2" t="s">
        <v>58</v>
      </c>
      <c r="C1" s="2" t="s">
        <v>59</v>
      </c>
      <c r="D1" s="2" t="s">
        <v>60</v>
      </c>
      <c r="E1" s="2" t="s">
        <v>70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</row>
    <row r="2" spans="1:1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tr">
        <f>_xlfn.CONCAT(C2:D2)</f>
        <v>TimHoffman</v>
      </c>
      <c r="F2" s="1" t="s">
        <v>6</v>
      </c>
      <c r="G2" s="1" t="s">
        <v>7</v>
      </c>
      <c r="H2" s="1" t="s">
        <v>8</v>
      </c>
      <c r="I2" s="1" t="s">
        <v>67</v>
      </c>
      <c r="J2" s="1" t="s">
        <v>69</v>
      </c>
    </row>
    <row r="3" spans="1:10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tr">
        <f t="shared" ref="E3:E11" si="0">_xlfn.CONCAT(C3:D3)</f>
        <v>ElisabethTönsing</v>
      </c>
      <c r="F3" s="1" t="s">
        <v>6</v>
      </c>
      <c r="G3" s="1" t="s">
        <v>13</v>
      </c>
      <c r="H3" s="1" t="s">
        <v>14</v>
      </c>
      <c r="I3" s="1" t="s">
        <v>68</v>
      </c>
      <c r="J3" s="1" t="s">
        <v>69</v>
      </c>
    </row>
    <row r="4" spans="1:10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tr">
        <f t="shared" si="0"/>
        <v>LesediMasipa</v>
      </c>
      <c r="F4" s="1" t="s">
        <v>0</v>
      </c>
      <c r="G4" s="1" t="s">
        <v>19</v>
      </c>
      <c r="H4" s="1" t="s">
        <v>14</v>
      </c>
      <c r="I4" s="1" t="s">
        <v>68</v>
      </c>
      <c r="J4" s="1" t="s">
        <v>69</v>
      </c>
    </row>
    <row r="5" spans="1:10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tr">
        <f t="shared" si="0"/>
        <v>BramlinSolomons</v>
      </c>
      <c r="F5" s="1" t="s">
        <v>24</v>
      </c>
      <c r="G5" s="1" t="s">
        <v>25</v>
      </c>
      <c r="H5" s="1" t="s">
        <v>26</v>
      </c>
      <c r="I5" s="1" t="s">
        <v>67</v>
      </c>
      <c r="J5" s="1" t="s">
        <v>69</v>
      </c>
    </row>
    <row r="6" spans="1:10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tr">
        <f t="shared" si="0"/>
        <v>LonwaboDlali</v>
      </c>
      <c r="F6" s="1" t="s">
        <v>0</v>
      </c>
      <c r="G6" s="1" t="s">
        <v>31</v>
      </c>
      <c r="H6" s="1" t="s">
        <v>14</v>
      </c>
      <c r="I6" s="1" t="s">
        <v>68</v>
      </c>
      <c r="J6" s="1" t="s">
        <v>69</v>
      </c>
    </row>
    <row r="7" spans="1:10" x14ac:dyDescent="0.25">
      <c r="A7" s="1" t="s">
        <v>32</v>
      </c>
      <c r="B7" s="1" t="s">
        <v>28</v>
      </c>
      <c r="C7" s="1" t="s">
        <v>29</v>
      </c>
      <c r="D7" s="1" t="s">
        <v>30</v>
      </c>
      <c r="E7" s="1" t="str">
        <f t="shared" si="0"/>
        <v>LonwaboDlali</v>
      </c>
      <c r="F7" s="1" t="s">
        <v>0</v>
      </c>
      <c r="G7" s="1" t="s">
        <v>33</v>
      </c>
      <c r="H7" s="1" t="s">
        <v>14</v>
      </c>
      <c r="I7" s="1" t="s">
        <v>68</v>
      </c>
      <c r="J7" s="1" t="s">
        <v>69</v>
      </c>
    </row>
    <row r="8" spans="1:10" x14ac:dyDescent="0.25">
      <c r="A8" s="1" t="s">
        <v>34</v>
      </c>
      <c r="B8" s="1" t="s">
        <v>35</v>
      </c>
      <c r="C8" s="1" t="s">
        <v>36</v>
      </c>
      <c r="D8" s="1" t="s">
        <v>37</v>
      </c>
      <c r="E8" s="1" t="str">
        <f t="shared" si="0"/>
        <v>CaitlynDu-plessis</v>
      </c>
      <c r="F8" s="1" t="s">
        <v>6</v>
      </c>
      <c r="G8" s="1" t="s">
        <v>38</v>
      </c>
      <c r="H8" s="1" t="s">
        <v>39</v>
      </c>
      <c r="I8" s="1" t="s">
        <v>67</v>
      </c>
      <c r="J8" s="1" t="s">
        <v>69</v>
      </c>
    </row>
    <row r="9" spans="1:10" x14ac:dyDescent="0.25">
      <c r="A9" s="1" t="s">
        <v>40</v>
      </c>
      <c r="B9" s="1" t="s">
        <v>41</v>
      </c>
      <c r="C9" s="1" t="s">
        <v>42</v>
      </c>
      <c r="D9" s="1" t="s">
        <v>43</v>
      </c>
      <c r="E9" s="1" t="str">
        <f t="shared" si="0"/>
        <v>LandileMdingi</v>
      </c>
      <c r="F9" s="1" t="s">
        <v>0</v>
      </c>
      <c r="G9" s="1" t="s">
        <v>44</v>
      </c>
      <c r="H9" s="1" t="s">
        <v>45</v>
      </c>
      <c r="I9" s="1" t="s">
        <v>66</v>
      </c>
      <c r="J9" s="1" t="s">
        <v>69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49</v>
      </c>
      <c r="E10" s="1" t="str">
        <f t="shared" si="0"/>
        <v>PearlPhillips</v>
      </c>
      <c r="F10" s="1" t="s">
        <v>24</v>
      </c>
      <c r="G10" s="1" t="s">
        <v>50</v>
      </c>
      <c r="H10" s="1" t="s">
        <v>51</v>
      </c>
      <c r="I10" s="1" t="s">
        <v>67</v>
      </c>
      <c r="J10" s="1" t="s">
        <v>69</v>
      </c>
    </row>
    <row r="11" spans="1:10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 t="str">
        <f t="shared" si="0"/>
        <v>IsabelleChege</v>
      </c>
      <c r="F11" s="1" t="s">
        <v>0</v>
      </c>
      <c r="G11" s="1" t="s">
        <v>56</v>
      </c>
      <c r="H11" s="1" t="s">
        <v>1</v>
      </c>
      <c r="I11" s="1" t="s">
        <v>66</v>
      </c>
      <c r="J11" s="1" t="s">
        <v>69</v>
      </c>
    </row>
  </sheetData>
  <autoFilter ref="A1:J1" xr:uid="{F52A5945-3CF1-44A8-ACBA-BAA199BC790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9E198-BAA7-4FFA-95D7-88CE19E5DC98}">
  <dimension ref="A1:E28"/>
  <sheetViews>
    <sheetView tabSelected="1" topLeftCell="A4" workbookViewId="0"/>
  </sheetViews>
  <sheetFormatPr defaultRowHeight="15" x14ac:dyDescent="0.25"/>
  <cols>
    <col min="1" max="1" width="31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62</v>
      </c>
      <c r="B1" t="s">
        <v>73</v>
      </c>
    </row>
    <row r="3" spans="1:5" x14ac:dyDescent="0.25">
      <c r="A3" s="3" t="s">
        <v>84</v>
      </c>
      <c r="B3" s="3" t="s">
        <v>74</v>
      </c>
    </row>
    <row r="4" spans="1:5" x14ac:dyDescent="0.25">
      <c r="A4" s="3" t="s">
        <v>71</v>
      </c>
      <c r="B4" t="s">
        <v>0</v>
      </c>
      <c r="C4" t="s">
        <v>24</v>
      </c>
      <c r="D4" t="s">
        <v>6</v>
      </c>
      <c r="E4" t="s">
        <v>72</v>
      </c>
    </row>
    <row r="5" spans="1:5" x14ac:dyDescent="0.25">
      <c r="A5" s="4" t="s">
        <v>14</v>
      </c>
      <c r="B5" s="7">
        <v>3</v>
      </c>
      <c r="C5" s="7"/>
      <c r="D5" s="7">
        <v>1</v>
      </c>
      <c r="E5" s="7">
        <v>4</v>
      </c>
    </row>
    <row r="6" spans="1:5" x14ac:dyDescent="0.25">
      <c r="A6" s="5" t="s">
        <v>68</v>
      </c>
      <c r="B6" s="7">
        <v>3</v>
      </c>
      <c r="C6" s="7"/>
      <c r="D6" s="7">
        <v>1</v>
      </c>
      <c r="E6" s="7">
        <v>4</v>
      </c>
    </row>
    <row r="7" spans="1:5" x14ac:dyDescent="0.25">
      <c r="A7" s="6" t="s">
        <v>75</v>
      </c>
      <c r="B7" s="7"/>
      <c r="C7" s="7"/>
      <c r="D7" s="7">
        <v>1</v>
      </c>
      <c r="E7" s="7">
        <v>1</v>
      </c>
    </row>
    <row r="8" spans="1:5" x14ac:dyDescent="0.25">
      <c r="A8" s="6" t="s">
        <v>76</v>
      </c>
      <c r="B8" s="7">
        <v>1</v>
      </c>
      <c r="C8" s="7"/>
      <c r="D8" s="7"/>
      <c r="E8" s="7">
        <v>1</v>
      </c>
    </row>
    <row r="9" spans="1:5" x14ac:dyDescent="0.25">
      <c r="A9" s="6" t="s">
        <v>77</v>
      </c>
      <c r="B9" s="7">
        <v>2</v>
      </c>
      <c r="C9" s="7"/>
      <c r="D9" s="7"/>
      <c r="E9" s="7">
        <v>2</v>
      </c>
    </row>
    <row r="10" spans="1:5" x14ac:dyDescent="0.25">
      <c r="A10" s="4" t="s">
        <v>8</v>
      </c>
      <c r="B10" s="7"/>
      <c r="C10" s="7"/>
      <c r="D10" s="7">
        <v>1</v>
      </c>
      <c r="E10" s="7">
        <v>1</v>
      </c>
    </row>
    <row r="11" spans="1:5" x14ac:dyDescent="0.25">
      <c r="A11" s="5" t="s">
        <v>67</v>
      </c>
      <c r="B11" s="7"/>
      <c r="C11" s="7"/>
      <c r="D11" s="7">
        <v>1</v>
      </c>
      <c r="E11" s="7">
        <v>1</v>
      </c>
    </row>
    <row r="12" spans="1:5" x14ac:dyDescent="0.25">
      <c r="A12" s="6" t="s">
        <v>78</v>
      </c>
      <c r="B12" s="7"/>
      <c r="C12" s="7"/>
      <c r="D12" s="7">
        <v>1</v>
      </c>
      <c r="E12" s="7">
        <v>1</v>
      </c>
    </row>
    <row r="13" spans="1:5" x14ac:dyDescent="0.25">
      <c r="A13" s="4" t="s">
        <v>51</v>
      </c>
      <c r="B13" s="7"/>
      <c r="C13" s="7">
        <v>1</v>
      </c>
      <c r="D13" s="7"/>
      <c r="E13" s="7">
        <v>1</v>
      </c>
    </row>
    <row r="14" spans="1:5" x14ac:dyDescent="0.25">
      <c r="A14" s="5" t="s">
        <v>67</v>
      </c>
      <c r="B14" s="7"/>
      <c r="C14" s="7">
        <v>1</v>
      </c>
      <c r="D14" s="7"/>
      <c r="E14" s="7">
        <v>1</v>
      </c>
    </row>
    <row r="15" spans="1:5" x14ac:dyDescent="0.25">
      <c r="A15" s="6" t="s">
        <v>79</v>
      </c>
      <c r="B15" s="7"/>
      <c r="C15" s="7">
        <v>1</v>
      </c>
      <c r="D15" s="7"/>
      <c r="E15" s="7">
        <v>1</v>
      </c>
    </row>
    <row r="16" spans="1:5" x14ac:dyDescent="0.25">
      <c r="A16" s="4" t="s">
        <v>39</v>
      </c>
      <c r="B16" s="7"/>
      <c r="C16" s="7"/>
      <c r="D16" s="7">
        <v>1</v>
      </c>
      <c r="E16" s="7">
        <v>1</v>
      </c>
    </row>
    <row r="17" spans="1:5" x14ac:dyDescent="0.25">
      <c r="A17" s="5" t="s">
        <v>67</v>
      </c>
      <c r="B17" s="7"/>
      <c r="C17" s="7"/>
      <c r="D17" s="7">
        <v>1</v>
      </c>
      <c r="E17" s="7">
        <v>1</v>
      </c>
    </row>
    <row r="18" spans="1:5" x14ac:dyDescent="0.25">
      <c r="A18" s="6" t="s">
        <v>80</v>
      </c>
      <c r="B18" s="7"/>
      <c r="C18" s="7"/>
      <c r="D18" s="7">
        <v>1</v>
      </c>
      <c r="E18" s="7">
        <v>1</v>
      </c>
    </row>
    <row r="19" spans="1:5" x14ac:dyDescent="0.25">
      <c r="A19" s="4" t="s">
        <v>1</v>
      </c>
      <c r="B19" s="7">
        <v>1</v>
      </c>
      <c r="C19" s="7"/>
      <c r="D19" s="7"/>
      <c r="E19" s="7">
        <v>1</v>
      </c>
    </row>
    <row r="20" spans="1:5" x14ac:dyDescent="0.25">
      <c r="A20" s="5" t="s">
        <v>66</v>
      </c>
      <c r="B20" s="7">
        <v>1</v>
      </c>
      <c r="C20" s="7"/>
      <c r="D20" s="7"/>
      <c r="E20" s="7">
        <v>1</v>
      </c>
    </row>
    <row r="21" spans="1:5" x14ac:dyDescent="0.25">
      <c r="A21" s="6" t="s">
        <v>81</v>
      </c>
      <c r="B21" s="7">
        <v>1</v>
      </c>
      <c r="C21" s="7"/>
      <c r="D21" s="7"/>
      <c r="E21" s="7">
        <v>1</v>
      </c>
    </row>
    <row r="22" spans="1:5" x14ac:dyDescent="0.25">
      <c r="A22" s="4" t="s">
        <v>45</v>
      </c>
      <c r="B22" s="7">
        <v>1</v>
      </c>
      <c r="C22" s="7"/>
      <c r="D22" s="7"/>
      <c r="E22" s="7">
        <v>1</v>
      </c>
    </row>
    <row r="23" spans="1:5" x14ac:dyDescent="0.25">
      <c r="A23" s="5" t="s">
        <v>66</v>
      </c>
      <c r="B23" s="7">
        <v>1</v>
      </c>
      <c r="C23" s="7"/>
      <c r="D23" s="7"/>
      <c r="E23" s="7">
        <v>1</v>
      </c>
    </row>
    <row r="24" spans="1:5" x14ac:dyDescent="0.25">
      <c r="A24" s="6" t="s">
        <v>82</v>
      </c>
      <c r="B24" s="7">
        <v>1</v>
      </c>
      <c r="C24" s="7"/>
      <c r="D24" s="7"/>
      <c r="E24" s="7">
        <v>1</v>
      </c>
    </row>
    <row r="25" spans="1:5" x14ac:dyDescent="0.25">
      <c r="A25" s="4" t="s">
        <v>26</v>
      </c>
      <c r="B25" s="7"/>
      <c r="C25" s="7">
        <v>1</v>
      </c>
      <c r="D25" s="7"/>
      <c r="E25" s="7">
        <v>1</v>
      </c>
    </row>
    <row r="26" spans="1:5" x14ac:dyDescent="0.25">
      <c r="A26" s="5" t="s">
        <v>67</v>
      </c>
      <c r="B26" s="7"/>
      <c r="C26" s="7">
        <v>1</v>
      </c>
      <c r="D26" s="7"/>
      <c r="E26" s="7">
        <v>1</v>
      </c>
    </row>
    <row r="27" spans="1:5" x14ac:dyDescent="0.25">
      <c r="A27" s="6" t="s">
        <v>83</v>
      </c>
      <c r="B27" s="7"/>
      <c r="C27" s="7">
        <v>1</v>
      </c>
      <c r="D27" s="7"/>
      <c r="E27" s="7">
        <v>1</v>
      </c>
    </row>
    <row r="28" spans="1:5" x14ac:dyDescent="0.25">
      <c r="A28" s="4" t="s">
        <v>72</v>
      </c>
      <c r="B28" s="7">
        <v>5</v>
      </c>
      <c r="C28" s="7">
        <v>2</v>
      </c>
      <c r="D28" s="7">
        <v>3</v>
      </c>
      <c r="E28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2026-08-21T12:55:39Z</dcterms:created>
  <dcterms:modified xsi:type="dcterms:W3CDTF">2026-08-21T12:59:41Z</dcterms:modified>
</cp:coreProperties>
</file>