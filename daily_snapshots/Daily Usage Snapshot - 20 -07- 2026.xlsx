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4523DC2C-956A-4342-945A-A920C4C39052}" xr6:coauthVersionLast="47" xr6:coauthVersionMax="47" xr10:uidLastSave="{00000000-0000-0000-0000-000000000000}"/>
  <bookViews>
    <workbookView xWindow="735" yWindow="735" windowWidth="21600" windowHeight="11295" activeTab="1" xr2:uid="{363915C1-5FE9-45DC-85F9-63AF8F7CE68D}"/>
  </bookViews>
  <sheets>
    <sheet name="Raw Data" sheetId="1" r:id="rId1"/>
    <sheet name="Pivot Table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<sst xmlns="http://schemas.openxmlformats.org/spreadsheetml/2006/main" count="174" uniqueCount="112">
  <si>
    <t>Username</t>
  </si>
  <si>
    <t>Email Address</t>
  </si>
  <si>
    <t>First Name</t>
  </si>
  <si>
    <t>UserRoles</t>
  </si>
  <si>
    <t>Date &amp; Time</t>
  </si>
  <si>
    <t>School Name</t>
  </si>
  <si>
    <t>user1773996164.8537</t>
  </si>
  <si>
    <t>etonsing@acudeo.co.za</t>
  </si>
  <si>
    <t>Elisabeth</t>
  </si>
  <si>
    <t>Tönsing</t>
  </si>
  <si>
    <t>Teacher</t>
  </si>
  <si>
    <t>Monday, 20 July 2026 at 16:16</t>
  </si>
  <si>
    <t>Acudeo Crystal Park</t>
  </si>
  <si>
    <t>user1780902301.5488</t>
  </si>
  <si>
    <t>Nenyasha.Tsikirai@bresciahouseschool.co.za</t>
  </si>
  <si>
    <t>lyla</t>
  </si>
  <si>
    <t>nenyasha</t>
  </si>
  <si>
    <t>Participant</t>
  </si>
  <si>
    <t>Monday, 20 July 2026 at 15:29</t>
  </si>
  <si>
    <t>Brescia House</t>
  </si>
  <si>
    <t>Jude gietzmann</t>
  </si>
  <si>
    <t>judegietzmann@koaacademy.com</t>
  </si>
  <si>
    <t>Jude</t>
  </si>
  <si>
    <t>Gietzmann</t>
  </si>
  <si>
    <t>Monday, 20 July 2026 at 14:14</t>
  </si>
  <si>
    <t>Koa Academy</t>
  </si>
  <si>
    <t>user1771319370.152</t>
  </si>
  <si>
    <t>debbie@koaacademy.com</t>
  </si>
  <si>
    <t>Debbie</t>
  </si>
  <si>
    <t>Fanti</t>
  </si>
  <si>
    <t>School Administrator</t>
  </si>
  <si>
    <t>Monday, 20 July 2026 at 12:12</t>
  </si>
  <si>
    <t>user1771392888.0495</t>
  </si>
  <si>
    <t>laylarougierlagane@koaacademy.com</t>
  </si>
  <si>
    <t>Layla</t>
  </si>
  <si>
    <t>Rougier Lagane</t>
  </si>
  <si>
    <t>Monday, 20 July 2026 at 12:01</t>
  </si>
  <si>
    <t>user1771392648.1305</t>
  </si>
  <si>
    <t>onalennanoko@koaacademy.com</t>
  </si>
  <si>
    <t>Onalenna</t>
  </si>
  <si>
    <t>Noko</t>
  </si>
  <si>
    <t>Monday, 20 July 2026 at 11:58</t>
  </si>
  <si>
    <t>user1760945966.0881</t>
  </si>
  <si>
    <t>art@bayprimary.co.za</t>
  </si>
  <si>
    <t>Megan</t>
  </si>
  <si>
    <t>Black</t>
  </si>
  <si>
    <t>Monday, 20 July 2026 at 11:36</t>
  </si>
  <si>
    <t>Bay Primary</t>
  </si>
  <si>
    <t>user1761038034.0316</t>
  </si>
  <si>
    <t>vmasingi@coreeducation.co.za</t>
  </si>
  <si>
    <t>Victor</t>
  </si>
  <si>
    <t>Masingi</t>
  </si>
  <si>
    <t>Monday, 20 July 2026 at 11:15</t>
  </si>
  <si>
    <t>user1784534665.9297</t>
  </si>
  <si>
    <t>rosbouwer@koaacademy.com</t>
  </si>
  <si>
    <t>Ros</t>
  </si>
  <si>
    <t>Bouwer</t>
  </si>
  <si>
    <t>Monday, 20 July 2026 at 11:10</t>
  </si>
  <si>
    <t>user1771392677.8297</t>
  </si>
  <si>
    <t>nalachabalala@koaacademy.com</t>
  </si>
  <si>
    <t>Nala</t>
  </si>
  <si>
    <t>Chabalala</t>
  </si>
  <si>
    <t>Monday, 20 July 2026 at 11:02</t>
  </si>
  <si>
    <t>user1761636751.2428</t>
  </si>
  <si>
    <t>nmasondo@royalschools.co.za</t>
  </si>
  <si>
    <t>nomvula</t>
  </si>
  <si>
    <t>masondo</t>
  </si>
  <si>
    <t>Monday, 20 July 2026 at 10:57</t>
  </si>
  <si>
    <t>Royal Schools Alberton</t>
  </si>
  <si>
    <t>user1761562619.8883</t>
  </si>
  <si>
    <t>gusgml2002@gmail.com</t>
  </si>
  <si>
    <t>Hyunhee</t>
  </si>
  <si>
    <t>Ko</t>
  </si>
  <si>
    <t>Monday, 20 July 2026 at 10:46</t>
  </si>
  <si>
    <t>Eastside Primary School</t>
  </si>
  <si>
    <t>user1782379542.206</t>
  </si>
  <si>
    <t>Lubanzi.Mbatha@bresciahouseschool.co.za</t>
  </si>
  <si>
    <t>Lubanzi</t>
  </si>
  <si>
    <t>Mbatha</t>
  </si>
  <si>
    <t>Monday, 20 July 2026 at 09:44</t>
  </si>
  <si>
    <t>K_Walls</t>
  </si>
  <si>
    <t>kaiwalls@koaacademy.com</t>
  </si>
  <si>
    <t>Kai</t>
  </si>
  <si>
    <t>Walls</t>
  </si>
  <si>
    <t>Monday, 20 July 2026 at 07:56</t>
  </si>
  <si>
    <t>Product Type</t>
  </si>
  <si>
    <t>Billing Status</t>
  </si>
  <si>
    <t>Classroom &amp; Instrumental</t>
  </si>
  <si>
    <t>Instrumental</t>
  </si>
  <si>
    <t>Acudeo Thornview</t>
  </si>
  <si>
    <t>Paying</t>
  </si>
  <si>
    <t>Surname</t>
  </si>
  <si>
    <t>Full Name</t>
  </si>
  <si>
    <t>Row Labels</t>
  </si>
  <si>
    <t>Grand Total</t>
  </si>
  <si>
    <t>(All)</t>
  </si>
  <si>
    <t>Column Labels</t>
  </si>
  <si>
    <t>Count of Full Name</t>
  </si>
  <si>
    <t>ElisabethTönsing</t>
  </si>
  <si>
    <t>VictorMasingi</t>
  </si>
  <si>
    <t>MeganBlack</t>
  </si>
  <si>
    <t>LubanziMbatha</t>
  </si>
  <si>
    <t>lylanenyasha</t>
  </si>
  <si>
    <t>HyunheeKo</t>
  </si>
  <si>
    <t>DebbieFanti</t>
  </si>
  <si>
    <t>JudeGietzmann</t>
  </si>
  <si>
    <t>KaiWalls</t>
  </si>
  <si>
    <t>LaylaRougier Lagane</t>
  </si>
  <si>
    <t>NalaChabalala</t>
  </si>
  <si>
    <t>OnalennaNoko</t>
  </si>
  <si>
    <t>RosBouwer</t>
  </si>
  <si>
    <t>nomvulamasondo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</si>
</sst>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23.698893749999" createdVersion="8" refreshedVersion="8" minRefreshableVersion="3" recordCount="14" xr:uid="{07A71023-B1A6-42E4-98BB-34A1483692D7}">
  <cacheSource type="worksheet">
    <worksheetSource ref="A1:J1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4">
        <s v="ElisabethTönsing"/>
        <s v="lylanenyasha"/>
        <s v="JudeGietzmann"/>
        <s v="DebbieFanti"/>
        <s v="LaylaRougier Lagane"/>
        <s v="OnalennaNoko"/>
        <s v="MeganBlack"/>
        <s v="VictorMasingi"/>
        <s v="RosBouwer"/>
        <s v="NalaChabalala"/>
        <s v="nomvulamasondo"/>
        <s v="HyunheeKo"/>
        <s v="LubanziMbatha"/>
        <s v="KaiWalls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14">
        <s v="Monday, 20 July 2026 at 16:16"/>
        <s v="Monday, 20 July 2026 at 15:29"/>
        <s v="Monday, 20 July 2026 at 14:14"/>
        <s v="Monday, 20 July 2026 at 12:12"/>
        <s v="Monday, 20 July 2026 at 12:01"/>
        <s v="Monday, 20 July 2026 at 11:58"/>
        <s v="Monday, 20 July 2026 at 11:36"/>
        <s v="Monday, 20 July 2026 at 11:15"/>
        <s v="Monday, 20 July 2026 at 11:10"/>
        <s v="Monday, 20 July 2026 at 11:02"/>
        <s v="Monday, 20 July 2026 at 10:57"/>
        <s v="Monday, 20 July 2026 at 10:46"/>
        <s v="Monday, 20 July 2026 at 09:44"/>
        <s v="Monday, 20 July 2026 at 07:56"/>
      </sharedItems>
    </cacheField>
    <cacheField name="School Name" numFmtId="0">
      <sharedItems count="7">
        <s v="Acudeo Crystal Park"/>
        <s v="Brescia House"/>
        <s v="Koa Academy"/>
        <s v="Bay Primary"/>
        <s v="Acudeo Thornview"/>
        <s v="Royal Schools Alberton"/>
        <s v="Eastside Primary School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user1773996164.8537"/>
    <s v="etonsing@acudeo.co.za"/>
    <s v="Elisabeth"/>
    <s v="Tönsing"/>
    <x v="0"/>
    <x v="0"/>
    <x v="0"/>
    <x v="0"/>
    <x v="0"/>
    <s v="Paying"/>
  </r>
  <r>
    <s v="user1780902301.5488"/>
    <s v="Nenyasha.Tsikirai@bresciahouseschool.co.za"/>
    <s v="lyla"/>
    <s v="nenyasha"/>
    <x v="1"/>
    <x v="1"/>
    <x v="1"/>
    <x v="1"/>
    <x v="0"/>
    <s v="Paying"/>
  </r>
  <r>
    <s v="Jude gietzmann"/>
    <s v="judegietzmann@koaacademy.com"/>
    <s v="Jude"/>
    <s v="Gietzmann"/>
    <x v="2"/>
    <x v="1"/>
    <x v="2"/>
    <x v="2"/>
    <x v="1"/>
    <s v="Paying"/>
  </r>
  <r>
    <s v="user1771319370.152"/>
    <s v="debbie@koaacademy.com"/>
    <s v="Debbie"/>
    <s v="Fanti"/>
    <x v="3"/>
    <x v="2"/>
    <x v="3"/>
    <x v="2"/>
    <x v="1"/>
    <s v="Paying"/>
  </r>
  <r>
    <s v="user1771392888.0495"/>
    <s v="laylarougierlagane@koaacademy.com"/>
    <s v="Layla"/>
    <s v="Rougier Lagane"/>
    <x v="4"/>
    <x v="1"/>
    <x v="4"/>
    <x v="2"/>
    <x v="1"/>
    <s v="Paying"/>
  </r>
  <r>
    <s v="user1771392648.1305"/>
    <s v="onalennanoko@koaacademy.com"/>
    <s v="Onalenna"/>
    <s v="Noko"/>
    <x v="5"/>
    <x v="1"/>
    <x v="5"/>
    <x v="2"/>
    <x v="1"/>
    <s v="Paying"/>
  </r>
  <r>
    <s v="user1760945966.0881"/>
    <s v="art@bayprimary.co.za"/>
    <s v="Megan"/>
    <s v="Black"/>
    <x v="6"/>
    <x v="2"/>
    <x v="6"/>
    <x v="3"/>
    <x v="0"/>
    <s v="Paying"/>
  </r>
  <r>
    <s v="user1761038034.0316"/>
    <s v="vmasingi@coreeducation.co.za"/>
    <s v="Victor"/>
    <s v="Masingi"/>
    <x v="7"/>
    <x v="2"/>
    <x v="7"/>
    <x v="4"/>
    <x v="0"/>
    <s v="Paying"/>
  </r>
  <r>
    <s v="user1784534665.9297"/>
    <s v="rosbouwer@koaacademy.com"/>
    <s v="Ros"/>
    <s v="Bouwer"/>
    <x v="8"/>
    <x v="1"/>
    <x v="8"/>
    <x v="2"/>
    <x v="1"/>
    <s v="Paying"/>
  </r>
  <r>
    <s v="user1771392677.8297"/>
    <s v="nalachabalala@koaacademy.com"/>
    <s v="Nala"/>
    <s v="Chabalala"/>
    <x v="9"/>
    <x v="1"/>
    <x v="9"/>
    <x v="2"/>
    <x v="1"/>
    <s v="Paying"/>
  </r>
  <r>
    <s v="user1761636751.2428"/>
    <s v="nmasondo@royalschools.co.za"/>
    <s v="nomvula"/>
    <s v="masondo"/>
    <x v="10"/>
    <x v="0"/>
    <x v="10"/>
    <x v="5"/>
    <x v="0"/>
    <s v="Paying"/>
  </r>
  <r>
    <s v="user1761562619.8883"/>
    <s v="gusgml2002@gmail.com"/>
    <s v="Hyunhee"/>
    <s v="Ko"/>
    <x v="11"/>
    <x v="2"/>
    <x v="11"/>
    <x v="6"/>
    <x v="0"/>
    <s v="Paying"/>
  </r>
  <r>
    <s v="user1782379542.206"/>
    <s v="Lubanzi.Mbatha@bresciahouseschool.co.za"/>
    <s v="Lubanzi"/>
    <s v="Mbatha"/>
    <x v="12"/>
    <x v="1"/>
    <x v="12"/>
    <x v="1"/>
    <x v="0"/>
    <s v="Paying"/>
  </r>
  <r>
    <s v="K_Walls"/>
    <s v="kaiwalls@koaacademy.com"/>
    <s v="Kai"/>
    <s v="Walls"/>
    <x v="13"/>
    <x v="1"/>
    <x v="13"/>
    <x v="2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03817-2730-48C6-B477-333588EDFC7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3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5">
        <item x="3"/>
        <item x="0"/>
        <item x="11"/>
        <item x="2"/>
        <item x="13"/>
        <item x="4"/>
        <item x="12"/>
        <item x="1"/>
        <item x="6"/>
        <item x="9"/>
        <item x="10"/>
        <item x="5"/>
        <item x="8"/>
        <item x="7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0"/>
        <item x="4"/>
        <item x="3"/>
        <item x="1"/>
        <item x="6"/>
        <item x="2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29">
    <i>
      <x/>
    </i>
    <i r="1">
      <x/>
    </i>
    <i r="2">
      <x v="1"/>
    </i>
    <i>
      <x v="1"/>
    </i>
    <i r="1">
      <x/>
    </i>
    <i r="2">
      <x v="13"/>
    </i>
    <i>
      <x v="2"/>
    </i>
    <i r="1">
      <x/>
    </i>
    <i r="2">
      <x v="8"/>
    </i>
    <i>
      <x v="3"/>
    </i>
    <i r="1">
      <x/>
    </i>
    <i r="2">
      <x v="6"/>
    </i>
    <i r="2">
      <x v="7"/>
    </i>
    <i>
      <x v="4"/>
    </i>
    <i r="1">
      <x/>
    </i>
    <i r="2">
      <x v="2"/>
    </i>
    <i>
      <x v="5"/>
    </i>
    <i r="1">
      <x v="1"/>
    </i>
    <i r="2">
      <x/>
    </i>
    <i r="2">
      <x v="3"/>
    </i>
    <i r="2">
      <x v="4"/>
    </i>
    <i r="2">
      <x v="5"/>
    </i>
    <i r="2">
      <x v="9"/>
    </i>
    <i r="2">
      <x v="11"/>
    </i>
    <i r="2">
      <x v="12"/>
    </i>
    <i>
      <x v="6"/>
    </i>
    <i r="1">
      <x/>
    </i>
    <i r="2">
      <x v="1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8167-E887-49BA-B9EB-4AB93A769EC9}">
  <dimension ref="A1:J15"/>
  <sheetViews>
    <sheetView topLeftCell="C1" workbookViewId="0">
      <selection activeCell="E18" sqref="E18"/>
    </sheetView>
  </sheetViews>
  <sheetFormatPr defaultRowHeight="15" x14ac:dyDescent="0.25"/>
  <cols>
    <col min="1" max="1" width="22" bestFit="1" customWidth="1"/>
    <col min="2" max="2" width="43.140625" bestFit="1" customWidth="1"/>
    <col min="3" max="3" width="10.5703125" bestFit="1" customWidth="1"/>
    <col min="4" max="4" width="14.5703125" bestFit="1" customWidth="1"/>
    <col min="5" max="5" width="16.28515625" bestFit="1" customWidth="1"/>
    <col min="6" max="6" width="19.85546875" bestFit="1" customWidth="1"/>
    <col min="7" max="7" width="26.85546875" bestFit="1" customWidth="1"/>
    <col min="8" max="8" width="43.140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3</v>
      </c>
      <c r="G1" s="1" t="s">
        <v>4</v>
      </c>
      <c r="H1" s="1" t="s">
        <v>5</v>
      </c>
      <c r="I1" s="1" t="s">
        <v>85</v>
      </c>
      <c r="J1" s="1" t="s">
        <v>86</v>
      </c>
    </row>
    <row r="2" spans="1:1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tr">
        <f>_xlfn.CONCAT(C2:D2)</f>
        <v>ElisabethTönsing</v>
      </c>
      <c r="F2" s="2" t="s">
        <v>10</v>
      </c>
      <c r="G2" s="2" t="s">
        <v>11</v>
      </c>
      <c r="H2" s="2" t="s">
        <v>12</v>
      </c>
      <c r="I2" s="2" t="s">
        <v>87</v>
      </c>
      <c r="J2" s="2" t="s">
        <v>90</v>
      </c>
    </row>
    <row r="3" spans="1:1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tr">
        <f t="shared" ref="E3:E15" si="0">_xlfn.CONCAT(C3:D3)</f>
        <v>lylanenyasha</v>
      </c>
      <c r="F3" s="2" t="s">
        <v>17</v>
      </c>
      <c r="G3" s="2" t="s">
        <v>18</v>
      </c>
      <c r="H3" s="2" t="s">
        <v>19</v>
      </c>
      <c r="I3" s="2" t="s">
        <v>87</v>
      </c>
      <c r="J3" s="2" t="s">
        <v>90</v>
      </c>
    </row>
    <row r="4" spans="1:1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tr">
        <f t="shared" si="0"/>
        <v>JudeGietzmann</v>
      </c>
      <c r="F4" s="2" t="s">
        <v>17</v>
      </c>
      <c r="G4" s="2" t="s">
        <v>24</v>
      </c>
      <c r="H4" s="2" t="s">
        <v>25</v>
      </c>
      <c r="I4" s="2" t="s">
        <v>88</v>
      </c>
      <c r="J4" s="2" t="s">
        <v>90</v>
      </c>
    </row>
    <row r="5" spans="1:1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DebbieFanti</v>
      </c>
      <c r="F5" s="2" t="s">
        <v>30</v>
      </c>
      <c r="G5" s="2" t="s">
        <v>31</v>
      </c>
      <c r="H5" s="2" t="s">
        <v>25</v>
      </c>
      <c r="I5" s="2" t="s">
        <v>88</v>
      </c>
      <c r="J5" s="2" t="s">
        <v>90</v>
      </c>
    </row>
    <row r="6" spans="1:10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tr">
        <f t="shared" si="0"/>
        <v>LaylaRougier Lagane</v>
      </c>
      <c r="F6" s="2" t="s">
        <v>17</v>
      </c>
      <c r="G6" s="2" t="s">
        <v>36</v>
      </c>
      <c r="H6" s="2" t="s">
        <v>25</v>
      </c>
      <c r="I6" s="2" t="s">
        <v>88</v>
      </c>
      <c r="J6" s="2" t="s">
        <v>90</v>
      </c>
    </row>
    <row r="7" spans="1:10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tr">
        <f t="shared" si="0"/>
        <v>OnalennaNoko</v>
      </c>
      <c r="F7" s="2" t="s">
        <v>17</v>
      </c>
      <c r="G7" s="2" t="s">
        <v>41</v>
      </c>
      <c r="H7" s="2" t="s">
        <v>25</v>
      </c>
      <c r="I7" s="2" t="s">
        <v>88</v>
      </c>
      <c r="J7" s="2" t="s">
        <v>90</v>
      </c>
    </row>
    <row r="8" spans="1:10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tr">
        <f t="shared" si="0"/>
        <v>MeganBlack</v>
      </c>
      <c r="F8" s="2" t="s">
        <v>30</v>
      </c>
      <c r="G8" s="2" t="s">
        <v>46</v>
      </c>
      <c r="H8" s="2" t="s">
        <v>47</v>
      </c>
      <c r="I8" s="2" t="s">
        <v>87</v>
      </c>
      <c r="J8" s="2" t="s">
        <v>90</v>
      </c>
    </row>
    <row r="9" spans="1:10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tr">
        <f t="shared" si="0"/>
        <v>VictorMasingi</v>
      </c>
      <c r="F9" s="2" t="s">
        <v>30</v>
      </c>
      <c r="G9" s="2" t="s">
        <v>52</v>
      </c>
      <c r="H9" s="2" t="s">
        <v>89</v>
      </c>
      <c r="I9" s="2" t="s">
        <v>87</v>
      </c>
      <c r="J9" s="2" t="s">
        <v>90</v>
      </c>
    </row>
    <row r="10" spans="1:10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tr">
        <f t="shared" si="0"/>
        <v>RosBouwer</v>
      </c>
      <c r="F10" s="2" t="s">
        <v>17</v>
      </c>
      <c r="G10" s="2" t="s">
        <v>57</v>
      </c>
      <c r="H10" s="2" t="s">
        <v>25</v>
      </c>
      <c r="I10" s="2" t="s">
        <v>88</v>
      </c>
      <c r="J10" s="2" t="s">
        <v>90</v>
      </c>
    </row>
    <row r="11" spans="1:1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tr">
        <f t="shared" si="0"/>
        <v>NalaChabalala</v>
      </c>
      <c r="F11" s="2" t="s">
        <v>17</v>
      </c>
      <c r="G11" s="2" t="s">
        <v>62</v>
      </c>
      <c r="H11" s="2" t="s">
        <v>25</v>
      </c>
      <c r="I11" s="2" t="s">
        <v>88</v>
      </c>
      <c r="J11" s="2" t="s">
        <v>90</v>
      </c>
    </row>
    <row r="12" spans="1:1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tr">
        <f t="shared" si="0"/>
        <v>nomvulamasondo</v>
      </c>
      <c r="F12" s="2" t="s">
        <v>10</v>
      </c>
      <c r="G12" s="2" t="s">
        <v>67</v>
      </c>
      <c r="H12" s="2" t="s">
        <v>68</v>
      </c>
      <c r="I12" s="2" t="s">
        <v>87</v>
      </c>
      <c r="J12" s="2" t="s">
        <v>90</v>
      </c>
    </row>
    <row r="13" spans="1:1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tr">
        <f t="shared" si="0"/>
        <v>HyunheeKo</v>
      </c>
      <c r="F13" s="2" t="s">
        <v>30</v>
      </c>
      <c r="G13" s="2" t="s">
        <v>73</v>
      </c>
      <c r="H13" s="2" t="s">
        <v>74</v>
      </c>
      <c r="I13" s="2" t="s">
        <v>87</v>
      </c>
      <c r="J13" s="2" t="s">
        <v>90</v>
      </c>
    </row>
    <row r="14" spans="1:1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tr">
        <f t="shared" si="0"/>
        <v>LubanziMbatha</v>
      </c>
      <c r="F14" s="2" t="s">
        <v>17</v>
      </c>
      <c r="G14" s="2" t="s">
        <v>79</v>
      </c>
      <c r="H14" s="2" t="s">
        <v>19</v>
      </c>
      <c r="I14" s="2" t="s">
        <v>87</v>
      </c>
      <c r="J14" s="2" t="s">
        <v>90</v>
      </c>
    </row>
    <row r="15" spans="1:10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tr">
        <f t="shared" si="0"/>
        <v>KaiWalls</v>
      </c>
      <c r="F15" s="2" t="s">
        <v>17</v>
      </c>
      <c r="G15" s="2" t="s">
        <v>84</v>
      </c>
      <c r="H15" s="2" t="s">
        <v>25</v>
      </c>
      <c r="I15" s="2" t="s">
        <v>88</v>
      </c>
      <c r="J15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AC9B-C460-4AE0-9AE0-C3CF7CD9B685}">
  <dimension ref="A1:E33"/>
  <sheetViews>
    <sheetView tabSelected="1" topLeftCell="A19" workbookViewId="0">
      <selection activeCell="D14" sqref="D14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</v>
      </c>
      <c r="B1" t="s">
        <v>95</v>
      </c>
    </row>
    <row r="3" spans="1:5" x14ac:dyDescent="0.25">
      <c r="A3" s="3" t="s">
        <v>97</v>
      </c>
      <c r="B3" s="3" t="s">
        <v>96</v>
      </c>
    </row>
    <row r="4" spans="1:5" x14ac:dyDescent="0.25">
      <c r="A4" s="3" t="s">
        <v>93</v>
      </c>
      <c r="B4" t="s">
        <v>17</v>
      </c>
      <c r="C4" t="s">
        <v>30</v>
      </c>
      <c r="D4" t="s">
        <v>10</v>
      </c>
      <c r="E4" t="s">
        <v>94</v>
      </c>
    </row>
    <row r="5" spans="1:5" x14ac:dyDescent="0.25">
      <c r="A5" s="4" t="s">
        <v>12</v>
      </c>
      <c r="B5" s="6"/>
      <c r="C5" s="6"/>
      <c r="D5" s="6">
        <v>1</v>
      </c>
      <c r="E5" s="6">
        <v>1</v>
      </c>
    </row>
    <row r="6" spans="1:5" x14ac:dyDescent="0.25">
      <c r="A6" s="5" t="s">
        <v>87</v>
      </c>
      <c r="B6" s="6"/>
      <c r="C6" s="6"/>
      <c r="D6" s="6">
        <v>1</v>
      </c>
      <c r="E6" s="6">
        <v>1</v>
      </c>
    </row>
    <row r="7" spans="1:5" x14ac:dyDescent="0.25">
      <c r="A7" s="7" t="s">
        <v>98</v>
      </c>
      <c r="B7" s="6"/>
      <c r="C7" s="6"/>
      <c r="D7" s="6">
        <v>1</v>
      </c>
      <c r="E7" s="6">
        <v>1</v>
      </c>
    </row>
    <row r="8" spans="1:5" x14ac:dyDescent="0.25">
      <c r="A8" s="4" t="s">
        <v>89</v>
      </c>
      <c r="B8" s="6"/>
      <c r="C8" s="6">
        <v>1</v>
      </c>
      <c r="D8" s="6"/>
      <c r="E8" s="6">
        <v>1</v>
      </c>
    </row>
    <row r="9" spans="1:5" x14ac:dyDescent="0.25">
      <c r="A9" s="5" t="s">
        <v>87</v>
      </c>
      <c r="B9" s="6"/>
      <c r="C9" s="6">
        <v>1</v>
      </c>
      <c r="D9" s="6"/>
      <c r="E9" s="6">
        <v>1</v>
      </c>
    </row>
    <row r="10" spans="1:5" x14ac:dyDescent="0.25">
      <c r="A10" s="7" t="s">
        <v>99</v>
      </c>
      <c r="B10" s="6"/>
      <c r="C10" s="6">
        <v>1</v>
      </c>
      <c r="D10" s="6"/>
      <c r="E10" s="6">
        <v>1</v>
      </c>
    </row>
    <row r="11" spans="1:5" x14ac:dyDescent="0.25">
      <c r="A11" s="4" t="s">
        <v>47</v>
      </c>
      <c r="B11" s="6"/>
      <c r="C11" s="6">
        <v>1</v>
      </c>
      <c r="D11" s="6"/>
      <c r="E11" s="6">
        <v>1</v>
      </c>
    </row>
    <row r="12" spans="1:5" x14ac:dyDescent="0.25">
      <c r="A12" s="5" t="s">
        <v>87</v>
      </c>
      <c r="B12" s="6"/>
      <c r="C12" s="6">
        <v>1</v>
      </c>
      <c r="D12" s="6"/>
      <c r="E12" s="6">
        <v>1</v>
      </c>
    </row>
    <row r="13" spans="1:5" x14ac:dyDescent="0.25">
      <c r="A13" s="7" t="s">
        <v>100</v>
      </c>
      <c r="B13" s="6"/>
      <c r="C13" s="6">
        <v>1</v>
      </c>
      <c r="D13" s="6"/>
      <c r="E13" s="6">
        <v>1</v>
      </c>
    </row>
    <row r="14" spans="1:5" x14ac:dyDescent="0.25">
      <c r="A14" s="4" t="s">
        <v>19</v>
      </c>
      <c r="B14" s="6">
        <v>2</v>
      </c>
      <c r="C14" s="6"/>
      <c r="D14" s="6"/>
      <c r="E14" s="6">
        <v>2</v>
      </c>
    </row>
    <row r="15" spans="1:5" x14ac:dyDescent="0.25">
      <c r="A15" s="5" t="s">
        <v>87</v>
      </c>
      <c r="B15" s="6">
        <v>2</v>
      </c>
      <c r="C15" s="6"/>
      <c r="D15" s="6"/>
      <c r="E15" s="6">
        <v>2</v>
      </c>
    </row>
    <row r="16" spans="1:5" x14ac:dyDescent="0.25">
      <c r="A16" s="7" t="s">
        <v>101</v>
      </c>
      <c r="B16" s="6">
        <v>1</v>
      </c>
      <c r="C16" s="6"/>
      <c r="D16" s="6"/>
      <c r="E16" s="6">
        <v>1</v>
      </c>
    </row>
    <row r="17" spans="1:5" x14ac:dyDescent="0.25">
      <c r="A17" s="7" t="s">
        <v>102</v>
      </c>
      <c r="B17" s="6">
        <v>1</v>
      </c>
      <c r="C17" s="6"/>
      <c r="D17" s="6"/>
      <c r="E17" s="6">
        <v>1</v>
      </c>
    </row>
    <row r="18" spans="1:5" x14ac:dyDescent="0.25">
      <c r="A18" s="4" t="s">
        <v>74</v>
      </c>
      <c r="B18" s="6"/>
      <c r="C18" s="6">
        <v>1</v>
      </c>
      <c r="D18" s="6"/>
      <c r="E18" s="6">
        <v>1</v>
      </c>
    </row>
    <row r="19" spans="1:5" x14ac:dyDescent="0.25">
      <c r="A19" s="5" t="s">
        <v>87</v>
      </c>
      <c r="B19" s="6"/>
      <c r="C19" s="6">
        <v>1</v>
      </c>
      <c r="D19" s="6"/>
      <c r="E19" s="6">
        <v>1</v>
      </c>
    </row>
    <row r="20" spans="1:5" x14ac:dyDescent="0.25">
      <c r="A20" s="7" t="s">
        <v>103</v>
      </c>
      <c r="B20" s="6"/>
      <c r="C20" s="6">
        <v>1</v>
      </c>
      <c r="D20" s="6"/>
      <c r="E20" s="6">
        <v>1</v>
      </c>
    </row>
    <row r="21" spans="1:5" x14ac:dyDescent="0.25">
      <c r="A21" s="4" t="s">
        <v>25</v>
      </c>
      <c r="B21" s="6">
        <v>6</v>
      </c>
      <c r="C21" s="6">
        <v>1</v>
      </c>
      <c r="D21" s="6"/>
      <c r="E21" s="6">
        <v>7</v>
      </c>
    </row>
    <row r="22" spans="1:5" x14ac:dyDescent="0.25">
      <c r="A22" s="5" t="s">
        <v>88</v>
      </c>
      <c r="B22" s="6">
        <v>6</v>
      </c>
      <c r="C22" s="6">
        <v>1</v>
      </c>
      <c r="D22" s="6"/>
      <c r="E22" s="6">
        <v>7</v>
      </c>
    </row>
    <row r="23" spans="1:5" x14ac:dyDescent="0.25">
      <c r="A23" s="7" t="s">
        <v>104</v>
      </c>
      <c r="B23" s="6"/>
      <c r="C23" s="6">
        <v>1</v>
      </c>
      <c r="D23" s="6"/>
      <c r="E23" s="6">
        <v>1</v>
      </c>
    </row>
    <row r="24" spans="1:5" x14ac:dyDescent="0.25">
      <c r="A24" s="7" t="s">
        <v>105</v>
      </c>
      <c r="B24" s="6">
        <v>1</v>
      </c>
      <c r="C24" s="6"/>
      <c r="D24" s="6"/>
      <c r="E24" s="6">
        <v>1</v>
      </c>
    </row>
    <row r="25" spans="1:5" x14ac:dyDescent="0.25">
      <c r="A25" s="7" t="s">
        <v>106</v>
      </c>
      <c r="B25" s="6">
        <v>1</v>
      </c>
      <c r="C25" s="6"/>
      <c r="D25" s="6"/>
      <c r="E25" s="6">
        <v>1</v>
      </c>
    </row>
    <row r="26" spans="1:5" x14ac:dyDescent="0.25">
      <c r="A26" s="7" t="s">
        <v>107</v>
      </c>
      <c r="B26" s="6">
        <v>1</v>
      </c>
      <c r="C26" s="6"/>
      <c r="D26" s="6"/>
      <c r="E26" s="6">
        <v>1</v>
      </c>
    </row>
    <row r="27" spans="1:5" x14ac:dyDescent="0.25">
      <c r="A27" s="7" t="s">
        <v>108</v>
      </c>
      <c r="B27" s="6">
        <v>1</v>
      </c>
      <c r="C27" s="6"/>
      <c r="D27" s="6"/>
      <c r="E27" s="6">
        <v>1</v>
      </c>
    </row>
    <row r="28" spans="1:5" x14ac:dyDescent="0.25">
      <c r="A28" s="7" t="s">
        <v>109</v>
      </c>
      <c r="B28" s="6">
        <v>1</v>
      </c>
      <c r="C28" s="6"/>
      <c r="D28" s="6"/>
      <c r="E28" s="6">
        <v>1</v>
      </c>
    </row>
    <row r="29" spans="1:5" x14ac:dyDescent="0.25">
      <c r="A29" s="7" t="s">
        <v>110</v>
      </c>
      <c r="B29" s="6">
        <v>1</v>
      </c>
      <c r="C29" s="6"/>
      <c r="D29" s="6"/>
      <c r="E29" s="6">
        <v>1</v>
      </c>
    </row>
    <row r="30" spans="1:5" x14ac:dyDescent="0.25">
      <c r="A30" s="4" t="s">
        <v>68</v>
      </c>
      <c r="B30" s="6"/>
      <c r="C30" s="6"/>
      <c r="D30" s="6">
        <v>1</v>
      </c>
      <c r="E30" s="6">
        <v>1</v>
      </c>
    </row>
    <row r="31" spans="1:5" x14ac:dyDescent="0.25">
      <c r="A31" s="5" t="s">
        <v>87</v>
      </c>
      <c r="B31" s="6"/>
      <c r="C31" s="6"/>
      <c r="D31" s="6">
        <v>1</v>
      </c>
      <c r="E31" s="6">
        <v>1</v>
      </c>
    </row>
    <row r="32" spans="1:5" x14ac:dyDescent="0.25">
      <c r="A32" s="7" t="s">
        <v>111</v>
      </c>
      <c r="B32" s="6"/>
      <c r="C32" s="6"/>
      <c r="D32" s="6">
        <v>1</v>
      </c>
      <c r="E32" s="6">
        <v>1</v>
      </c>
    </row>
    <row r="33" spans="1:5" x14ac:dyDescent="0.25">
      <c r="A33" s="4" t="s">
        <v>94</v>
      </c>
      <c r="B33" s="6">
        <v>8</v>
      </c>
      <c r="C33" s="6">
        <v>4</v>
      </c>
      <c r="D33" s="6">
        <v>2</v>
      </c>
      <c r="E33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2026-07-20T14:41:59Z</dcterms:created>
  <dcterms:modified xsi:type="dcterms:W3CDTF">2026-07-20T14:46:48Z</dcterms:modified>
</cp:coreProperties>
</file>