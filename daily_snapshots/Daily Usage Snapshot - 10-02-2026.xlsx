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FA270E1B-680C-43ED-8F2C-5C1FA6A2C2BA}" xr6:coauthVersionLast="47" xr6:coauthVersionMax="47" xr10:uidLastSave="{00000000-0000-0000-0000-000000000000}"/>
  <bookViews>
    <workbookView xWindow="-120" yWindow="-120" windowWidth="29040" windowHeight="15720" activeTab="1" xr2:uid="{3585CE53-F24D-4022-8FBE-4EC30EF8E1AA}"/>
  </bookViews>
  <sheets>
    <sheet name="Raw Data" sheetId="1" r:id="rId1"/>
    <sheet name="Pivot Table" sheetId="3" r:id="rId2"/>
  </sheets>
  <definedNames>
    <definedName name="_xlnm._FilterDatabase" localSheetId="0" hidden="1">'Raw Data'!$A$1:$H$1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<sst xmlns="http://schemas.openxmlformats.org/spreadsheetml/2006/main" count="104" uniqueCount="83">
  <si>
    <t>School Administrator</t>
  </si>
  <si>
    <t>Teacher</t>
  </si>
  <si>
    <t>Participant</t>
  </si>
  <si>
    <t>The Ear Academy</t>
  </si>
  <si>
    <t>user1769425159.1802</t>
  </si>
  <si>
    <t>janeenedwards@koaacademy.com</t>
  </si>
  <si>
    <t>Janeen</t>
  </si>
  <si>
    <t>Edwards</t>
  </si>
  <si>
    <t>Feb 10, 2026, 13:40</t>
  </si>
  <si>
    <t>Koa Academy</t>
  </si>
  <si>
    <t>user1762864707.1581</t>
  </si>
  <si>
    <t>vmasingi@coreeducation.co.za</t>
  </si>
  <si>
    <t>Victor</t>
  </si>
  <si>
    <t>Masingi</t>
  </si>
  <si>
    <t>Feb 10, 2026, 13:39</t>
  </si>
  <si>
    <t>Queens Private School</t>
  </si>
  <si>
    <t>user1761562619.8883</t>
  </si>
  <si>
    <t>gusgml2002@gmail.com</t>
  </si>
  <si>
    <t>Hyunhee</t>
  </si>
  <si>
    <t>Ko</t>
  </si>
  <si>
    <t>Feb 10, 2026, 13:15</t>
  </si>
  <si>
    <t>Eastside Primary School</t>
  </si>
  <si>
    <t>user1752818206.9287</t>
  </si>
  <si>
    <t>carien.v@curro.co.za</t>
  </si>
  <si>
    <t>Carien</t>
  </si>
  <si>
    <t>Van der Walt</t>
  </si>
  <si>
    <t>Feb 10, 2026, 13:00</t>
  </si>
  <si>
    <t>user1750762060.076</t>
  </si>
  <si>
    <t>carmenjacobs718@gmail.com</t>
  </si>
  <si>
    <t>carmen</t>
  </si>
  <si>
    <t>nel</t>
  </si>
  <si>
    <t>Feb 10, 2026, 12:24</t>
  </si>
  <si>
    <t>Kammaland Primary School</t>
  </si>
  <si>
    <t>user1757327710.9386</t>
  </si>
  <si>
    <t>ilze.vanwyk@reddam.house</t>
  </si>
  <si>
    <t>Ilze</t>
  </si>
  <si>
    <t>van Wyk</t>
  </si>
  <si>
    <t>Feb 10, 2026, 12:19</t>
  </si>
  <si>
    <t>Reddam House Helderfontein</t>
  </si>
  <si>
    <t>user1757925415.8532</t>
  </si>
  <si>
    <t>geeljanika875@gmail.com</t>
  </si>
  <si>
    <t>Janika</t>
  </si>
  <si>
    <t>Vermeulen</t>
  </si>
  <si>
    <t>Feb 10, 2026, 10:43</t>
  </si>
  <si>
    <t>Harriston Primary School</t>
  </si>
  <si>
    <t>user1761656501.7987</t>
  </si>
  <si>
    <t>jessica.spires@generationschools.co.za</t>
  </si>
  <si>
    <t>Jessica</t>
  </si>
  <si>
    <t>Spires</t>
  </si>
  <si>
    <t>Feb 10, 2026, 09:43</t>
  </si>
  <si>
    <t>Generation Schools Hermanus</t>
  </si>
  <si>
    <t>user1759926404.3845</t>
  </si>
  <si>
    <t>martincoetsee00@gmail.com</t>
  </si>
  <si>
    <t>Martin</t>
  </si>
  <si>
    <t>Coetsee</t>
  </si>
  <si>
    <t>Feb 10, 2026, 09:20</t>
  </si>
  <si>
    <t>user1768545863.1021</t>
  </si>
  <si>
    <t>Khanyambeje@gmail.com</t>
  </si>
  <si>
    <t>Nokukhanya</t>
  </si>
  <si>
    <t>Mbeje</t>
  </si>
  <si>
    <t>Feb 10, 2026, 00:34</t>
  </si>
  <si>
    <t>Username</t>
  </si>
  <si>
    <t>Email Address</t>
  </si>
  <si>
    <t>First Name</t>
  </si>
  <si>
    <t>Surname</t>
  </si>
  <si>
    <t>UserRole</t>
  </si>
  <si>
    <t>Date &amp; Time</t>
  </si>
  <si>
    <t>School Name</t>
  </si>
  <si>
    <t>Full Name</t>
  </si>
  <si>
    <t>Row Labels</t>
  </si>
  <si>
    <t>Grand Total</t>
  </si>
  <si>
    <t>Column Labels</t>
  </si>
  <si>
    <t>HyunheeKo</t>
  </si>
  <si>
    <t>JessicaSpires</t>
  </si>
  <si>
    <t>JanikaVermeulen</t>
  </si>
  <si>
    <t>carmennel</t>
  </si>
  <si>
    <t>MartinCoetsee</t>
  </si>
  <si>
    <t>NokukhanyaMbeje</t>
  </si>
  <si>
    <t>JaneenEdwards</t>
  </si>
  <si>
    <t>VictorMasingi</t>
  </si>
  <si>
    <t>Ilzevan Wyk</t>
  </si>
  <si>
    <t>CarienVan der Walt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</si>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</sst>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64.436240277777" createdVersion="8" refreshedVersion="8" minRefreshableVersion="3" recordCount="10" xr:uid="{8FE39B7A-D33B-45E8-A5DF-CD5FE46AEDA8}">
  <cacheSource type="worksheet">
    <worksheetSource ref="A1:H11" sheet="Raw Data"/>
  </cacheSource>
  <cacheFields count="8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0">
        <s v="JaneenEdwards"/>
        <s v="VictorMasingi"/>
        <s v="HyunheeKo"/>
        <s v="CarienVan der Walt"/>
        <s v="carmennel"/>
        <s v="Ilzevan Wyk"/>
        <s v="JanikaVermeulen"/>
        <s v="JessicaSpires"/>
        <s v="MartinCoetsee"/>
        <s v="NokukhanyaMbeje"/>
      </sharedItems>
    </cacheField>
    <cacheField name="UserRole" numFmtId="0">
      <sharedItems count="3">
        <s v="School Administrator"/>
        <s v="Participant"/>
        <s v="Teacher"/>
      </sharedItems>
    </cacheField>
    <cacheField name="Date &amp; Time" numFmtId="0">
      <sharedItems/>
    </cacheField>
    <cacheField name="School Name" numFmtId="0">
      <sharedItems count="8">
        <s v="Koa Academy"/>
        <s v="Queens Private School"/>
        <s v="Eastside Primary School"/>
        <s v="The Ear Academy"/>
        <s v="Kammaland Primary School"/>
        <s v="Reddam House Helderfontein"/>
        <s v="Harriston Primary School"/>
        <s v="Generation Schools Herman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user1769425159.1802"/>
    <s v="janeenedwards@koaacademy.com"/>
    <s v="Janeen"/>
    <s v="Edwards"/>
    <x v="0"/>
    <x v="0"/>
    <s v="Feb 10, 2026, 13:40"/>
    <x v="0"/>
  </r>
  <r>
    <s v="user1762864707.1581"/>
    <s v="vmasingi@coreeducation.co.za"/>
    <s v="Victor"/>
    <s v="Masingi"/>
    <x v="1"/>
    <x v="0"/>
    <s v="Feb 10, 2026, 13:39"/>
    <x v="1"/>
  </r>
  <r>
    <s v="user1761562619.8883"/>
    <s v="gusgml2002@gmail.com"/>
    <s v="Hyunhee"/>
    <s v="Ko"/>
    <x v="2"/>
    <x v="0"/>
    <s v="Feb 10, 2026, 13:15"/>
    <x v="2"/>
  </r>
  <r>
    <s v="user1752818206.9287"/>
    <s v="carien.v@curro.co.za"/>
    <s v="Carien"/>
    <s v="Van der Walt"/>
    <x v="3"/>
    <x v="1"/>
    <s v="Feb 10, 2026, 13:00"/>
    <x v="3"/>
  </r>
  <r>
    <s v="user1750762060.076"/>
    <s v="carmenjacobs718@gmail.com"/>
    <s v="carmen"/>
    <s v="nel"/>
    <x v="4"/>
    <x v="2"/>
    <s v="Feb 10, 2026, 12:24"/>
    <x v="4"/>
  </r>
  <r>
    <s v="user1757327710.9386"/>
    <s v="ilze.vanwyk@reddam.house"/>
    <s v="Ilze"/>
    <s v="van Wyk"/>
    <x v="5"/>
    <x v="0"/>
    <s v="Feb 10, 2026, 12:19"/>
    <x v="5"/>
  </r>
  <r>
    <s v="user1757925415.8532"/>
    <s v="geeljanika875@gmail.com"/>
    <s v="Janika"/>
    <s v="Vermeulen"/>
    <x v="6"/>
    <x v="0"/>
    <s v="Feb 10, 2026, 10:43"/>
    <x v="6"/>
  </r>
  <r>
    <s v="user1761656501.7987"/>
    <s v="jessica.spires@generationschools.co.za"/>
    <s v="Jessica"/>
    <s v="Spires"/>
    <x v="7"/>
    <x v="2"/>
    <s v="Feb 10, 2026, 09:43"/>
    <x v="7"/>
  </r>
  <r>
    <s v="user1759926404.3845"/>
    <s v="martincoetsee00@gmail.com"/>
    <s v="Martin"/>
    <s v="Coetsee"/>
    <x v="8"/>
    <x v="0"/>
    <s v="Feb 10, 2026, 09:20"/>
    <x v="4"/>
  </r>
  <r>
    <s v="user1768545863.1021"/>
    <s v="Khanyambeje@gmail.com"/>
    <s v="Nokukhanya"/>
    <s v="Mbeje"/>
    <x v="9"/>
    <x v="2"/>
    <s v="Feb 10, 2026, 00:3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352BF-41F6-43A4-821B-76DD931BCFC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21" firstHeaderRow="1" firstDataRow="2" firstDataCol="1"/>
  <pivotFields count="8">
    <pivotField showAll="0"/>
    <pivotField showAll="0"/>
    <pivotField showAll="0"/>
    <pivotField showAll="0"/>
    <pivotField axis="axisRow" dataField="1" showAll="0">
      <items count="11">
        <item x="3"/>
        <item x="4"/>
        <item x="2"/>
        <item x="5"/>
        <item x="0"/>
        <item x="6"/>
        <item x="7"/>
        <item x="8"/>
        <item x="9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9">
        <item x="2"/>
        <item x="7"/>
        <item x="6"/>
        <item x="4"/>
        <item x="0"/>
        <item x="1"/>
        <item x="5"/>
        <item x="3"/>
        <item t="default"/>
      </items>
    </pivotField>
  </pivotFields>
  <rowFields count="2">
    <field x="7"/>
    <field x="4"/>
  </rowFields>
  <rowItems count="19">
    <i>
      <x/>
    </i>
    <i r="1">
      <x v="2"/>
    </i>
    <i>
      <x v="1"/>
    </i>
    <i r="1">
      <x v="6"/>
    </i>
    <i>
      <x v="2"/>
    </i>
    <i r="1">
      <x v="5"/>
    </i>
    <i>
      <x v="3"/>
    </i>
    <i r="1">
      <x v="1"/>
    </i>
    <i r="1">
      <x v="7"/>
    </i>
    <i r="1">
      <x v="8"/>
    </i>
    <i>
      <x v="4"/>
    </i>
    <i r="1">
      <x v="4"/>
    </i>
    <i>
      <x v="5"/>
    </i>
    <i r="1">
      <x v="9"/>
    </i>
    <i>
      <x v="6"/>
    </i>
    <i r="1">
      <x v="3"/>
    </i>
    <i>
      <x v="7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AB66-1D0B-4EA7-95F4-DAD733699D55}">
  <dimension ref="A1:H11"/>
  <sheetViews>
    <sheetView workbookViewId="0">
      <selection activeCell="E13" sqref="E13"/>
    </sheetView>
  </sheetViews>
  <sheetFormatPr defaultRowHeight="15" x14ac:dyDescent="0.25"/>
  <cols>
    <col min="1" max="1" width="20.85546875" bestFit="1" customWidth="1"/>
    <col min="2" max="2" width="37.5703125" bestFit="1" customWidth="1"/>
    <col min="3" max="4" width="12.140625" bestFit="1" customWidth="1"/>
    <col min="5" max="5" width="18.140625" bestFit="1" customWidth="1"/>
    <col min="6" max="6" width="20.85546875" bestFit="1" customWidth="1"/>
    <col min="7" max="7" width="17.42578125" bestFit="1" customWidth="1"/>
    <col min="8" max="8" width="28.28515625" bestFit="1" customWidth="1"/>
  </cols>
  <sheetData>
    <row r="1" spans="1:8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68</v>
      </c>
      <c r="F1" s="2" t="s">
        <v>65</v>
      </c>
      <c r="G1" s="2" t="s">
        <v>66</v>
      </c>
      <c r="H1" s="2" t="s">
        <v>67</v>
      </c>
    </row>
    <row r="2" spans="1:8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tr">
        <f>_xlfn.CONCAT(C2:D2)</f>
        <v>JaneenEdwards</v>
      </c>
      <c r="F2" s="1" t="s">
        <v>0</v>
      </c>
      <c r="G2" s="1" t="s">
        <v>8</v>
      </c>
      <c r="H2" s="1" t="s">
        <v>9</v>
      </c>
    </row>
    <row r="3" spans="1:8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tr">
        <f t="shared" ref="E3:E11" si="0">_xlfn.CONCAT(C3:D3)</f>
        <v>VictorMasingi</v>
      </c>
      <c r="F3" s="1" t="s">
        <v>0</v>
      </c>
      <c r="G3" s="1" t="s">
        <v>14</v>
      </c>
      <c r="H3" s="1" t="s">
        <v>15</v>
      </c>
    </row>
    <row r="4" spans="1:8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tr">
        <f t="shared" si="0"/>
        <v>HyunheeKo</v>
      </c>
      <c r="F4" s="1" t="s">
        <v>0</v>
      </c>
      <c r="G4" s="1" t="s">
        <v>20</v>
      </c>
      <c r="H4" s="1" t="s">
        <v>21</v>
      </c>
    </row>
    <row r="5" spans="1:8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tr">
        <f t="shared" si="0"/>
        <v>CarienVan der Walt</v>
      </c>
      <c r="F5" s="1" t="s">
        <v>2</v>
      </c>
      <c r="G5" s="1" t="s">
        <v>26</v>
      </c>
      <c r="H5" s="1" t="s">
        <v>3</v>
      </c>
    </row>
    <row r="6" spans="1:8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tr">
        <f t="shared" si="0"/>
        <v>carmennel</v>
      </c>
      <c r="F6" s="1" t="s">
        <v>1</v>
      </c>
      <c r="G6" s="1" t="s">
        <v>31</v>
      </c>
      <c r="H6" s="1" t="s">
        <v>32</v>
      </c>
    </row>
    <row r="7" spans="1:8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tr">
        <f t="shared" si="0"/>
        <v>Ilzevan Wyk</v>
      </c>
      <c r="F7" s="1" t="s">
        <v>0</v>
      </c>
      <c r="G7" s="1" t="s">
        <v>37</v>
      </c>
      <c r="H7" s="1" t="s">
        <v>38</v>
      </c>
    </row>
    <row r="8" spans="1:8" x14ac:dyDescent="0.25">
      <c r="A8" s="1" t="s">
        <v>39</v>
      </c>
      <c r="B8" s="1" t="s">
        <v>40</v>
      </c>
      <c r="C8" s="1" t="s">
        <v>41</v>
      </c>
      <c r="D8" s="1" t="s">
        <v>42</v>
      </c>
      <c r="E8" s="1" t="str">
        <f t="shared" si="0"/>
        <v>JanikaVermeulen</v>
      </c>
      <c r="F8" s="1" t="s">
        <v>0</v>
      </c>
      <c r="G8" s="1" t="s">
        <v>43</v>
      </c>
      <c r="H8" s="1" t="s">
        <v>44</v>
      </c>
    </row>
    <row r="9" spans="1:8" x14ac:dyDescent="0.25">
      <c r="A9" s="1" t="s">
        <v>45</v>
      </c>
      <c r="B9" s="1" t="s">
        <v>46</v>
      </c>
      <c r="C9" s="1" t="s">
        <v>47</v>
      </c>
      <c r="D9" s="1" t="s">
        <v>48</v>
      </c>
      <c r="E9" s="1" t="str">
        <f t="shared" si="0"/>
        <v>JessicaSpires</v>
      </c>
      <c r="F9" s="1" t="s">
        <v>1</v>
      </c>
      <c r="G9" s="1" t="s">
        <v>49</v>
      </c>
      <c r="H9" s="1" t="s">
        <v>50</v>
      </c>
    </row>
    <row r="10" spans="1:8" x14ac:dyDescent="0.25">
      <c r="A10" s="1" t="s">
        <v>51</v>
      </c>
      <c r="B10" s="1" t="s">
        <v>52</v>
      </c>
      <c r="C10" s="1" t="s">
        <v>53</v>
      </c>
      <c r="D10" s="1" t="s">
        <v>54</v>
      </c>
      <c r="E10" s="1" t="str">
        <f t="shared" si="0"/>
        <v>MartinCoetsee</v>
      </c>
      <c r="F10" s="1" t="s">
        <v>0</v>
      </c>
      <c r="G10" s="1" t="s">
        <v>55</v>
      </c>
      <c r="H10" s="1" t="s">
        <v>32</v>
      </c>
    </row>
    <row r="11" spans="1:8" x14ac:dyDescent="0.25">
      <c r="A11" s="1" t="s">
        <v>56</v>
      </c>
      <c r="B11" s="1" t="s">
        <v>57</v>
      </c>
      <c r="C11" s="1" t="s">
        <v>58</v>
      </c>
      <c r="D11" s="1" t="s">
        <v>59</v>
      </c>
      <c r="E11" s="1" t="str">
        <f t="shared" si="0"/>
        <v>NokukhanyaMbeje</v>
      </c>
      <c r="F11" s="1" t="s">
        <v>1</v>
      </c>
      <c r="G11" s="1" t="s">
        <v>60</v>
      </c>
      <c r="H11" s="1" t="s">
        <v>32</v>
      </c>
    </row>
  </sheetData>
  <autoFilter ref="A1:H1" xr:uid="{F19DAB66-1D0B-4EA7-95F4-DAD733699D5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83AA-534D-4F28-AA8C-B4229F37F410}">
  <dimension ref="A1:E21"/>
  <sheetViews>
    <sheetView tabSelected="1" workbookViewId="0">
      <selection activeCell="E21" sqref="E21"/>
    </sheetView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82</v>
      </c>
      <c r="B1" s="3" t="s">
        <v>71</v>
      </c>
    </row>
    <row r="2" spans="1:5" x14ac:dyDescent="0.25">
      <c r="A2" s="3" t="s">
        <v>69</v>
      </c>
      <c r="B2" t="s">
        <v>2</v>
      </c>
      <c r="C2" t="s">
        <v>0</v>
      </c>
      <c r="D2" t="s">
        <v>1</v>
      </c>
      <c r="E2" t="s">
        <v>70</v>
      </c>
    </row>
    <row r="3" spans="1:5" x14ac:dyDescent="0.25">
      <c r="A3" s="4" t="s">
        <v>21</v>
      </c>
      <c r="B3" s="6"/>
      <c r="C3" s="6">
        <v>1</v>
      </c>
      <c r="D3" s="6"/>
      <c r="E3" s="6">
        <v>1</v>
      </c>
    </row>
    <row r="4" spans="1:5" x14ac:dyDescent="0.25">
      <c r="A4" s="5" t="s">
        <v>72</v>
      </c>
      <c r="B4" s="6"/>
      <c r="C4" s="6">
        <v>1</v>
      </c>
      <c r="D4" s="6"/>
      <c r="E4" s="6">
        <v>1</v>
      </c>
    </row>
    <row r="5" spans="1:5" x14ac:dyDescent="0.25">
      <c r="A5" s="4" t="s">
        <v>50</v>
      </c>
      <c r="B5" s="6"/>
      <c r="C5" s="6"/>
      <c r="D5" s="6">
        <v>1</v>
      </c>
      <c r="E5" s="6">
        <v>1</v>
      </c>
    </row>
    <row r="6" spans="1:5" x14ac:dyDescent="0.25">
      <c r="A6" s="5" t="s">
        <v>73</v>
      </c>
      <c r="B6" s="6"/>
      <c r="C6" s="6"/>
      <c r="D6" s="6">
        <v>1</v>
      </c>
      <c r="E6" s="6">
        <v>1</v>
      </c>
    </row>
    <row r="7" spans="1:5" x14ac:dyDescent="0.25">
      <c r="A7" s="4" t="s">
        <v>44</v>
      </c>
      <c r="B7" s="6"/>
      <c r="C7" s="6">
        <v>1</v>
      </c>
      <c r="D7" s="6"/>
      <c r="E7" s="6">
        <v>1</v>
      </c>
    </row>
    <row r="8" spans="1:5" x14ac:dyDescent="0.25">
      <c r="A8" s="5" t="s">
        <v>74</v>
      </c>
      <c r="B8" s="6"/>
      <c r="C8" s="6">
        <v>1</v>
      </c>
      <c r="D8" s="6"/>
      <c r="E8" s="6">
        <v>1</v>
      </c>
    </row>
    <row r="9" spans="1:5" x14ac:dyDescent="0.25">
      <c r="A9" s="4" t="s">
        <v>32</v>
      </c>
      <c r="B9" s="6"/>
      <c r="C9" s="6">
        <v>1</v>
      </c>
      <c r="D9" s="6">
        <v>2</v>
      </c>
      <c r="E9" s="6">
        <v>3</v>
      </c>
    </row>
    <row r="10" spans="1:5" x14ac:dyDescent="0.25">
      <c r="A10" s="5" t="s">
        <v>75</v>
      </c>
      <c r="B10" s="6"/>
      <c r="C10" s="6"/>
      <c r="D10" s="6">
        <v>1</v>
      </c>
      <c r="E10" s="6">
        <v>1</v>
      </c>
    </row>
    <row r="11" spans="1:5" x14ac:dyDescent="0.25">
      <c r="A11" s="5" t="s">
        <v>76</v>
      </c>
      <c r="B11" s="6"/>
      <c r="C11" s="6">
        <v>1</v>
      </c>
      <c r="D11" s="6"/>
      <c r="E11" s="6">
        <v>1</v>
      </c>
    </row>
    <row r="12" spans="1:5" x14ac:dyDescent="0.25">
      <c r="A12" s="5" t="s">
        <v>77</v>
      </c>
      <c r="B12" s="6"/>
      <c r="C12" s="6"/>
      <c r="D12" s="6">
        <v>1</v>
      </c>
      <c r="E12" s="6">
        <v>1</v>
      </c>
    </row>
    <row r="13" spans="1:5" x14ac:dyDescent="0.25">
      <c r="A13" s="4" t="s">
        <v>9</v>
      </c>
      <c r="B13" s="6"/>
      <c r="C13" s="6">
        <v>1</v>
      </c>
      <c r="D13" s="6"/>
      <c r="E13" s="6">
        <v>1</v>
      </c>
    </row>
    <row r="14" spans="1:5" x14ac:dyDescent="0.25">
      <c r="A14" s="5" t="s">
        <v>78</v>
      </c>
      <c r="B14" s="6"/>
      <c r="C14" s="6">
        <v>1</v>
      </c>
      <c r="D14" s="6"/>
      <c r="E14" s="6">
        <v>1</v>
      </c>
    </row>
    <row r="15" spans="1:5" x14ac:dyDescent="0.25">
      <c r="A15" s="4" t="s">
        <v>15</v>
      </c>
      <c r="B15" s="6"/>
      <c r="C15" s="6">
        <v>1</v>
      </c>
      <c r="D15" s="6"/>
      <c r="E15" s="6">
        <v>1</v>
      </c>
    </row>
    <row r="16" spans="1:5" x14ac:dyDescent="0.25">
      <c r="A16" s="5" t="s">
        <v>79</v>
      </c>
      <c r="B16" s="6"/>
      <c r="C16" s="6">
        <v>1</v>
      </c>
      <c r="D16" s="6"/>
      <c r="E16" s="6">
        <v>1</v>
      </c>
    </row>
    <row r="17" spans="1:5" x14ac:dyDescent="0.25">
      <c r="A17" s="4" t="s">
        <v>38</v>
      </c>
      <c r="B17" s="6"/>
      <c r="C17" s="6">
        <v>1</v>
      </c>
      <c r="D17" s="6"/>
      <c r="E17" s="6">
        <v>1</v>
      </c>
    </row>
    <row r="18" spans="1:5" x14ac:dyDescent="0.25">
      <c r="A18" s="5" t="s">
        <v>80</v>
      </c>
      <c r="B18" s="6"/>
      <c r="C18" s="6">
        <v>1</v>
      </c>
      <c r="D18" s="6"/>
      <c r="E18" s="6">
        <v>1</v>
      </c>
    </row>
    <row r="19" spans="1:5" x14ac:dyDescent="0.25">
      <c r="A19" s="4" t="s">
        <v>3</v>
      </c>
      <c r="B19" s="6">
        <v>1</v>
      </c>
      <c r="C19" s="6"/>
      <c r="D19" s="6"/>
      <c r="E19" s="6">
        <v>1</v>
      </c>
    </row>
    <row r="20" spans="1:5" x14ac:dyDescent="0.25">
      <c r="A20" s="5" t="s">
        <v>81</v>
      </c>
      <c r="B20" s="6">
        <v>1</v>
      </c>
      <c r="C20" s="6"/>
      <c r="D20" s="6"/>
      <c r="E20" s="6">
        <v>1</v>
      </c>
    </row>
    <row r="21" spans="1:5" x14ac:dyDescent="0.25">
      <c r="A21" s="4" t="s">
        <v>70</v>
      </c>
      <c r="B21" s="6">
        <v>1</v>
      </c>
      <c r="C21" s="6">
        <v>6</v>
      </c>
      <c r="D21" s="6">
        <v>3</v>
      </c>
      <c r="E21" s="6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02708D-4206-4406-A781-51FF4B43213C}"/>
</file>

<file path=customXml/itemProps2.xml><?xml version="1.0" encoding="utf-8"?>
<ds:datastoreItem xmlns:ds="http://schemas.openxmlformats.org/officeDocument/2006/customXml" ds:itemID="{18CC5FEA-DEDD-4B4D-9247-AC95BD5E7E67}"/>
</file>

<file path=customXml/itemProps3.xml><?xml version="1.0" encoding="utf-8"?>
<ds:datastoreItem xmlns:ds="http://schemas.openxmlformats.org/officeDocument/2006/customXml" ds:itemID="{5681FDA2-B22E-4C38-8C4E-0DFED9B714A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2026-02-11T08:18:22Z</dcterms:created>
  <dcterms:modified xsi:type="dcterms:W3CDTF">2026-02-11T08:29:10Z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