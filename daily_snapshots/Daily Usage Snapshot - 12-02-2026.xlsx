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9005A84C-4CAD-4C5D-AA76-8FD4D79053B2}" xr6:coauthVersionLast="47" xr6:coauthVersionMax="47" xr10:uidLastSave="{00000000-0000-0000-0000-000000000000}"/>
  <bookViews>
    <workbookView xWindow="1125" yWindow="1125" windowWidth="21600" windowHeight="11295" activeTab="1" xr2:uid="{E12F786A-153C-43ED-8F91-0EC5A3EB67AE}"/>
  </bookViews>
  <sheets>
    <sheet name="Raw Data" sheetId="1" r:id="rId1"/>
    <sheet name="Pivot Table" sheetId="3" r:id="rId2"/>
  </sheets>
  <definedNames>
    <definedName name="_xlnm._FilterDatabase" localSheetId="0" hidden="1">'Raw Data'!$A$1:$H$1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3" i="1"/>
  <c r="E4" i="1"/>
  <c r="E5" i="1"/>
  <c r="E6" i="1"/>
  <c r="E7" i="1"/>
  <c r="E8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<sst xmlns="http://schemas.openxmlformats.org/spreadsheetml/2006/main" count="149" uniqueCount="109">
  <si>
    <t>user1761656425.923</t>
  </si>
  <si>
    <t>Simone.cupido@generationschools.co.za</t>
  </si>
  <si>
    <t>Simone</t>
  </si>
  <si>
    <t>Cupido</t>
  </si>
  <si>
    <t>Teacher</t>
  </si>
  <si>
    <t>Feb 12, 2026, 14:52</t>
  </si>
  <si>
    <t>Malefane</t>
  </si>
  <si>
    <t>malefane@soofiainternational.org</t>
  </si>
  <si>
    <t>Lehlomela</t>
  </si>
  <si>
    <t>Feb 12, 2026, 14:39</t>
  </si>
  <si>
    <t>user1770897156.6554</t>
  </si>
  <si>
    <t>monty.intro@gmail.com</t>
  </si>
  <si>
    <t>Participant</t>
  </si>
  <si>
    <t>Feb 12, 2026, 13:53</t>
  </si>
  <si>
    <t>user1761656501.7987</t>
  </si>
  <si>
    <t>jessica.spires@generationschools.co.za</t>
  </si>
  <si>
    <t>Jessica</t>
  </si>
  <si>
    <t>Spires</t>
  </si>
  <si>
    <t>Feb 12, 2026, 13:16</t>
  </si>
  <si>
    <t>user1761562619.8883</t>
  </si>
  <si>
    <t>gusgml2002@gmail.com</t>
  </si>
  <si>
    <t>Hyunhee</t>
  </si>
  <si>
    <t>Ko</t>
  </si>
  <si>
    <t>School Administrator</t>
  </si>
  <si>
    <t>Feb 12, 2026, 13:05</t>
  </si>
  <si>
    <t>user1752818206.9287</t>
  </si>
  <si>
    <t>carien.v@curro.co.za</t>
  </si>
  <si>
    <t>Carien</t>
  </si>
  <si>
    <t>Van der Walt</t>
  </si>
  <si>
    <t>Feb 12, 2026, 12:59</t>
  </si>
  <si>
    <t>user1757327710.9386</t>
  </si>
  <si>
    <t>ilze.vanwyk@reddam.house</t>
  </si>
  <si>
    <t>Ilze</t>
  </si>
  <si>
    <t>van Wyk</t>
  </si>
  <si>
    <t>Feb 12, 2026, 12:49</t>
  </si>
  <si>
    <t>user1765984012.5367</t>
  </si>
  <si>
    <t>g.dutoit@hmbschool.co.za</t>
  </si>
  <si>
    <t>Feb 12, 2026, 12:18</t>
  </si>
  <si>
    <t>user1757925415.8532</t>
  </si>
  <si>
    <t>geeljanika875@gmail.com</t>
  </si>
  <si>
    <t>Janika</t>
  </si>
  <si>
    <t>Vermeulen</t>
  </si>
  <si>
    <t>Feb 12, 2026, 12:02</t>
  </si>
  <si>
    <t>user1768727256.5875</t>
  </si>
  <si>
    <t>chaneheslop@etham.co.za</t>
  </si>
  <si>
    <t>Chane</t>
  </si>
  <si>
    <t>Heslop</t>
  </si>
  <si>
    <t>Feb 12, 2026, 11:58</t>
  </si>
  <si>
    <t>user1762864676.5283</t>
  </si>
  <si>
    <t>vmasingi@coreeducation.co.za</t>
  </si>
  <si>
    <t>Victor</t>
  </si>
  <si>
    <t>Masingi</t>
  </si>
  <si>
    <t>Feb 12, 2026, 11:22</t>
  </si>
  <si>
    <t>Kayise</t>
  </si>
  <si>
    <t>kkhumalo@coreeducation.co.za</t>
  </si>
  <si>
    <t>Khumalo</t>
  </si>
  <si>
    <t>Feb 12, 2026, 10:36</t>
  </si>
  <si>
    <t>user1750761916.0398</t>
  </si>
  <si>
    <t>chantelsadler3@gmail.com</t>
  </si>
  <si>
    <t>Chantel</t>
  </si>
  <si>
    <t>Sadler</t>
  </si>
  <si>
    <t>Feb 12, 2026, 10:30</t>
  </si>
  <si>
    <t>user1750762060.076</t>
  </si>
  <si>
    <t>carmenjacobs718@gmail.com</t>
  </si>
  <si>
    <t>carmen</t>
  </si>
  <si>
    <t>nel</t>
  </si>
  <si>
    <t>Feb 12, 2026, 10:25</t>
  </si>
  <si>
    <t>user1761137641.7594</t>
  </si>
  <si>
    <t>Feb 12, 2026, 10:14</t>
  </si>
  <si>
    <t>Generation Schools Hermanus</t>
  </si>
  <si>
    <t>Soofia International School</t>
  </si>
  <si>
    <t>Eastside Primary School</t>
  </si>
  <si>
    <t>The Ear Academy</t>
  </si>
  <si>
    <t>Reddam House Helderfontein</t>
  </si>
  <si>
    <t>Hermannsburg School</t>
  </si>
  <si>
    <t>Harriston Primary School</t>
  </si>
  <si>
    <t>Etham College</t>
  </si>
  <si>
    <t>Princess Park College</t>
  </si>
  <si>
    <t>Royal Schools Alberton</t>
  </si>
  <si>
    <t>Kammaland Primary School</t>
  </si>
  <si>
    <t>Acudeo Protea Glen</t>
  </si>
  <si>
    <t xml:space="preserve">UserName </t>
  </si>
  <si>
    <t>Email Address</t>
  </si>
  <si>
    <t>First Name</t>
  </si>
  <si>
    <t>Surname</t>
  </si>
  <si>
    <t>UserRoles</t>
  </si>
  <si>
    <t>Date &amp; Time</t>
  </si>
  <si>
    <t>School Name</t>
  </si>
  <si>
    <t>(All)</t>
  </si>
  <si>
    <t>Row Labels</t>
  </si>
  <si>
    <t>Grand Total</t>
  </si>
  <si>
    <t>Column Labels</t>
  </si>
  <si>
    <t>Full Name</t>
  </si>
  <si>
    <t>Gerard</t>
  </si>
  <si>
    <t>duToit</t>
  </si>
  <si>
    <t>KayiseKhumalo</t>
  </si>
  <si>
    <t>HyunheeKo</t>
  </si>
  <si>
    <t>ChaneHeslop</t>
  </si>
  <si>
    <t>JessicaSpires</t>
  </si>
  <si>
    <t>SimoneCupido</t>
  </si>
  <si>
    <t>JanikaVermeulen</t>
  </si>
  <si>
    <t>GerardduToit</t>
  </si>
  <si>
    <t>carmennel</t>
  </si>
  <si>
    <t>ChantelSadler</t>
  </si>
  <si>
    <t>VictorMasingi</t>
  </si>
  <si>
    <t>Ilzevan Wyk</t>
  </si>
  <si>
    <t>LehlomelaMalefane</t>
  </si>
  <si>
    <t>CarienVan der Walt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</si>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</sst>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65.696662731483" createdVersion="8" refreshedVersion="8" minRefreshableVersion="3" recordCount="15" xr:uid="{A37A3E06-AADA-48F0-8839-7F17C110A5B0}">
  <cacheSource type="worksheet">
    <worksheetSource ref="A1:H16" sheet="Raw Data"/>
  </cacheSource>
  <cacheFields count="8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3">
        <s v="SimoneCupido"/>
        <s v="LehlomelaMalefane"/>
        <s v="JessicaSpires"/>
        <s v="HyunheeKo"/>
        <s v="CarienVan der Walt"/>
        <s v="Ilzevan Wyk"/>
        <s v="GerardduToit"/>
        <s v="JanikaVermeulen"/>
        <s v="ChaneHeslop"/>
        <s v="VictorMasingi"/>
        <s v="KayiseKhumalo"/>
        <s v="ChantelSadler"/>
        <s v="carmennel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15">
        <s v="Feb 12, 2026, 14:52"/>
        <s v="Feb 12, 2026, 14:39"/>
        <s v="Feb 12, 2026, 13:53"/>
        <s v="Feb 12, 2026, 13:16"/>
        <s v="Feb 12, 2026, 13:05"/>
        <s v="Feb 12, 2026, 12:59"/>
        <s v="Feb 12, 2026, 12:49"/>
        <s v="Feb 12, 2026, 12:18"/>
        <s v="Feb 12, 2026, 12:02"/>
        <s v="Feb 12, 2026, 11:58"/>
        <s v="Feb 12, 2026, 11:22"/>
        <s v="Feb 12, 2026, 10:36"/>
        <s v="Feb 12, 2026, 10:30"/>
        <s v="Feb 12, 2026, 10:25"/>
        <s v="Feb 12, 2026, 10:14"/>
      </sharedItems>
    </cacheField>
    <cacheField name="School Name" numFmtId="0">
      <sharedItems count="12">
        <s v="Generation Schools Hermanus"/>
        <s v="Soofia International School"/>
        <s v="Eastside Primary School"/>
        <s v="The Ear Academy"/>
        <s v="Reddam House Helderfontein"/>
        <s v="Hermannsburg School"/>
        <s v="Harriston Primary School"/>
        <s v="Etham College"/>
        <s v="Princess Park College"/>
        <s v="Royal Schools Alberton"/>
        <s v="Kammaland Primary School"/>
        <s v="Acudeo Protea Gl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user1761656425.923"/>
    <s v="Simone.cupido@generationschools.co.za"/>
    <s v="Simone"/>
    <s v="Cupido"/>
    <x v="0"/>
    <x v="0"/>
    <x v="0"/>
    <x v="0"/>
  </r>
  <r>
    <s v="Malefane"/>
    <s v="malefane@soofiainternational.org"/>
    <s v="Lehlomela"/>
    <s v="Malefane"/>
    <x v="1"/>
    <x v="0"/>
    <x v="1"/>
    <x v="1"/>
  </r>
  <r>
    <s v="user1770897156.6554"/>
    <s v="monty.intro@gmail.com"/>
    <s v="Simone"/>
    <s v="Cupido"/>
    <x v="0"/>
    <x v="1"/>
    <x v="2"/>
    <x v="0"/>
  </r>
  <r>
    <s v="user1761656501.7987"/>
    <s v="jessica.spires@generationschools.co.za"/>
    <s v="Jessica"/>
    <s v="Spires"/>
    <x v="2"/>
    <x v="0"/>
    <x v="3"/>
    <x v="0"/>
  </r>
  <r>
    <s v="user1761562619.8883"/>
    <s v="gusgml2002@gmail.com"/>
    <s v="Hyunhee"/>
    <s v="Ko"/>
    <x v="3"/>
    <x v="2"/>
    <x v="4"/>
    <x v="2"/>
  </r>
  <r>
    <s v="user1752818206.9287"/>
    <s v="carien.v@curro.co.za"/>
    <s v="Carien"/>
    <s v="Van der Walt"/>
    <x v="4"/>
    <x v="1"/>
    <x v="5"/>
    <x v="3"/>
  </r>
  <r>
    <s v="user1757327710.9386"/>
    <s v="ilze.vanwyk@reddam.house"/>
    <s v="Ilze"/>
    <s v="van Wyk"/>
    <x v="5"/>
    <x v="2"/>
    <x v="6"/>
    <x v="4"/>
  </r>
  <r>
    <s v="user1765984012.5367"/>
    <s v="g.dutoit@hmbschool.co.za"/>
    <s v="Gerard"/>
    <s v="duToit"/>
    <x v="6"/>
    <x v="2"/>
    <x v="7"/>
    <x v="5"/>
  </r>
  <r>
    <s v="user1757925415.8532"/>
    <s v="geeljanika875@gmail.com"/>
    <s v="Janika"/>
    <s v="Vermeulen"/>
    <x v="7"/>
    <x v="2"/>
    <x v="8"/>
    <x v="6"/>
  </r>
  <r>
    <s v="user1768727256.5875"/>
    <s v="chaneheslop@etham.co.za"/>
    <s v="Chane"/>
    <s v="Heslop"/>
    <x v="8"/>
    <x v="0"/>
    <x v="9"/>
    <x v="7"/>
  </r>
  <r>
    <s v="user1762864676.5283"/>
    <s v="vmasingi@coreeducation.co.za"/>
    <s v="Victor"/>
    <s v="Masingi"/>
    <x v="9"/>
    <x v="2"/>
    <x v="10"/>
    <x v="8"/>
  </r>
  <r>
    <s v="Kayise"/>
    <s v="kkhumalo@coreeducation.co.za"/>
    <s v="Kayise"/>
    <s v="Khumalo"/>
    <x v="10"/>
    <x v="2"/>
    <x v="11"/>
    <x v="9"/>
  </r>
  <r>
    <s v="user1750761916.0398"/>
    <s v="chantelsadler3@gmail.com"/>
    <s v="Chantel"/>
    <s v="Sadler"/>
    <x v="11"/>
    <x v="0"/>
    <x v="12"/>
    <x v="10"/>
  </r>
  <r>
    <s v="user1750762060.076"/>
    <s v="carmenjacobs718@gmail.com"/>
    <s v="carmen"/>
    <s v="nel"/>
    <x v="12"/>
    <x v="0"/>
    <x v="13"/>
    <x v="10"/>
  </r>
  <r>
    <s v="user1761137641.7594"/>
    <s v="kkhumalo@coreeducation.co.za"/>
    <s v="Kayise"/>
    <s v="Khumalo"/>
    <x v="10"/>
    <x v="2"/>
    <x v="1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3C506-0BA5-4119-A85D-FB19E144B3DB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1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4">
        <item x="4"/>
        <item x="12"/>
        <item x="8"/>
        <item x="11"/>
        <item x="6"/>
        <item x="3"/>
        <item x="5"/>
        <item x="7"/>
        <item x="2"/>
        <item x="10"/>
        <item x="1"/>
        <item x="0"/>
        <item x="9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11"/>
        <item x="2"/>
        <item x="7"/>
        <item x="0"/>
        <item x="6"/>
        <item x="5"/>
        <item x="10"/>
        <item x="8"/>
        <item x="4"/>
        <item x="9"/>
        <item x="1"/>
        <item x="3"/>
        <item t="default"/>
      </items>
    </pivotField>
  </pivotFields>
  <rowFields count="2">
    <field x="7"/>
    <field x="4"/>
  </rowFields>
  <rowItems count="27">
    <i>
      <x/>
    </i>
    <i r="1">
      <x v="9"/>
    </i>
    <i>
      <x v="1"/>
    </i>
    <i r="1">
      <x v="5"/>
    </i>
    <i>
      <x v="2"/>
    </i>
    <i r="1">
      <x v="2"/>
    </i>
    <i>
      <x v="3"/>
    </i>
    <i r="1">
      <x v="8"/>
    </i>
    <i r="1">
      <x v="11"/>
    </i>
    <i>
      <x v="4"/>
    </i>
    <i r="1">
      <x v="7"/>
    </i>
    <i>
      <x v="5"/>
    </i>
    <i r="1">
      <x v="4"/>
    </i>
    <i>
      <x v="6"/>
    </i>
    <i r="1">
      <x v="1"/>
    </i>
    <i r="1">
      <x v="3"/>
    </i>
    <i>
      <x v="7"/>
    </i>
    <i r="1">
      <x v="12"/>
    </i>
    <i>
      <x v="8"/>
    </i>
    <i r="1">
      <x v="6"/>
    </i>
    <i>
      <x v="9"/>
    </i>
    <i r="1">
      <x v="9"/>
    </i>
    <i>
      <x v="10"/>
    </i>
    <i r="1">
      <x v="10"/>
    </i>
    <i>
      <x v="11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B5F8-6565-44EE-B85C-C95CA94E3595}">
  <dimension ref="A1:H16"/>
  <sheetViews>
    <sheetView workbookViewId="0">
      <selection activeCell="F9" sqref="F9"/>
    </sheetView>
  </sheetViews>
  <sheetFormatPr defaultRowHeight="15" x14ac:dyDescent="0.25"/>
  <cols>
    <col min="1" max="1" width="19.7109375" bestFit="1" customWidth="1"/>
    <col min="2" max="2" width="38.7109375" bestFit="1" customWidth="1"/>
    <col min="3" max="3" width="14.140625" bestFit="1" customWidth="1"/>
    <col min="4" max="4" width="12.140625" bestFit="1" customWidth="1"/>
    <col min="5" max="5" width="20.28515625" bestFit="1" customWidth="1"/>
    <col min="6" max="6" width="19.85546875" bestFit="1" customWidth="1"/>
    <col min="7" max="7" width="17.42578125" bestFit="1" customWidth="1"/>
    <col min="8" max="8" width="28.28515625" bestFit="1" customWidth="1"/>
  </cols>
  <sheetData>
    <row r="1" spans="1:8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92</v>
      </c>
      <c r="F1" s="1" t="s">
        <v>85</v>
      </c>
      <c r="G1" s="1" t="s">
        <v>86</v>
      </c>
      <c r="H1" s="1" t="s">
        <v>87</v>
      </c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SimoneCupido</v>
      </c>
      <c r="F2" s="2" t="s">
        <v>4</v>
      </c>
      <c r="G2" s="2" t="s">
        <v>5</v>
      </c>
      <c r="H2" s="2" t="s">
        <v>69</v>
      </c>
    </row>
    <row r="3" spans="1:8" x14ac:dyDescent="0.25">
      <c r="A3" s="2" t="s">
        <v>6</v>
      </c>
      <c r="B3" s="2" t="s">
        <v>7</v>
      </c>
      <c r="C3" s="2" t="s">
        <v>8</v>
      </c>
      <c r="D3" s="2" t="s">
        <v>6</v>
      </c>
      <c r="E3" s="2" t="str">
        <f t="shared" ref="E3:E16" si="0">_xlfn.CONCAT(C3:D3)</f>
        <v>LehlomelaMalefane</v>
      </c>
      <c r="F3" s="2" t="s">
        <v>4</v>
      </c>
      <c r="G3" s="2" t="s">
        <v>9</v>
      </c>
      <c r="H3" s="2" t="s">
        <v>70</v>
      </c>
    </row>
    <row r="4" spans="1:8" x14ac:dyDescent="0.25">
      <c r="A4" s="2" t="s">
        <v>10</v>
      </c>
      <c r="B4" s="2" t="s">
        <v>11</v>
      </c>
      <c r="C4" s="2" t="s">
        <v>2</v>
      </c>
      <c r="D4" s="2" t="s">
        <v>3</v>
      </c>
      <c r="E4" s="2" t="str">
        <f t="shared" si="0"/>
        <v>SimoneCupido</v>
      </c>
      <c r="F4" s="2" t="s">
        <v>12</v>
      </c>
      <c r="G4" s="2" t="s">
        <v>13</v>
      </c>
      <c r="H4" s="2" t="s">
        <v>69</v>
      </c>
    </row>
    <row r="5" spans="1:8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tr">
        <f t="shared" si="0"/>
        <v>JessicaSpires</v>
      </c>
      <c r="F5" s="2" t="s">
        <v>4</v>
      </c>
      <c r="G5" s="2" t="s">
        <v>18</v>
      </c>
      <c r="H5" s="2" t="s">
        <v>69</v>
      </c>
    </row>
    <row r="6" spans="1:8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tr">
        <f t="shared" si="0"/>
        <v>HyunheeKo</v>
      </c>
      <c r="F6" s="2" t="s">
        <v>23</v>
      </c>
      <c r="G6" s="2" t="s">
        <v>24</v>
      </c>
      <c r="H6" s="2" t="s">
        <v>71</v>
      </c>
    </row>
    <row r="7" spans="1:8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tr">
        <f t="shared" si="0"/>
        <v>CarienVan der Walt</v>
      </c>
      <c r="F7" s="2" t="s">
        <v>12</v>
      </c>
      <c r="G7" s="2" t="s">
        <v>29</v>
      </c>
      <c r="H7" s="2" t="s">
        <v>72</v>
      </c>
    </row>
    <row r="8" spans="1:8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tr">
        <f t="shared" si="0"/>
        <v>Ilzevan Wyk</v>
      </c>
      <c r="F8" s="2" t="s">
        <v>23</v>
      </c>
      <c r="G8" s="2" t="s">
        <v>34</v>
      </c>
      <c r="H8" s="2" t="s">
        <v>73</v>
      </c>
    </row>
    <row r="9" spans="1:8" x14ac:dyDescent="0.25">
      <c r="A9" s="2" t="s">
        <v>35</v>
      </c>
      <c r="B9" s="2" t="s">
        <v>36</v>
      </c>
      <c r="C9" s="2" t="s">
        <v>93</v>
      </c>
      <c r="D9" s="2" t="s">
        <v>94</v>
      </c>
      <c r="E9" s="2" t="str">
        <f>_xlfn.CONCAT(C9:D9)</f>
        <v>GerardduToit</v>
      </c>
      <c r="F9" s="2" t="s">
        <v>23</v>
      </c>
      <c r="G9" s="2" t="s">
        <v>37</v>
      </c>
      <c r="H9" s="2" t="s">
        <v>74</v>
      </c>
    </row>
    <row r="10" spans="1:8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tr">
        <f t="shared" si="0"/>
        <v>JanikaVermeulen</v>
      </c>
      <c r="F10" s="2" t="s">
        <v>23</v>
      </c>
      <c r="G10" s="2" t="s">
        <v>42</v>
      </c>
      <c r="H10" s="2" t="s">
        <v>75</v>
      </c>
    </row>
    <row r="11" spans="1:8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tr">
        <f t="shared" si="0"/>
        <v>ChaneHeslop</v>
      </c>
      <c r="F11" s="2" t="s">
        <v>4</v>
      </c>
      <c r="G11" s="2" t="s">
        <v>47</v>
      </c>
      <c r="H11" s="2" t="s">
        <v>76</v>
      </c>
    </row>
    <row r="12" spans="1:8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tr">
        <f t="shared" si="0"/>
        <v>VictorMasingi</v>
      </c>
      <c r="F12" s="2" t="s">
        <v>23</v>
      </c>
      <c r="G12" s="2" t="s">
        <v>52</v>
      </c>
      <c r="H12" s="2" t="s">
        <v>77</v>
      </c>
    </row>
    <row r="13" spans="1:8" x14ac:dyDescent="0.25">
      <c r="A13" s="2" t="s">
        <v>53</v>
      </c>
      <c r="B13" s="2" t="s">
        <v>54</v>
      </c>
      <c r="C13" s="2" t="s">
        <v>53</v>
      </c>
      <c r="D13" s="2" t="s">
        <v>55</v>
      </c>
      <c r="E13" s="2" t="str">
        <f t="shared" si="0"/>
        <v>KayiseKhumalo</v>
      </c>
      <c r="F13" s="2" t="s">
        <v>23</v>
      </c>
      <c r="G13" s="2" t="s">
        <v>56</v>
      </c>
      <c r="H13" s="2" t="s">
        <v>78</v>
      </c>
    </row>
    <row r="14" spans="1:8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tr">
        <f t="shared" si="0"/>
        <v>ChantelSadler</v>
      </c>
      <c r="F14" s="2" t="s">
        <v>4</v>
      </c>
      <c r="G14" s="2" t="s">
        <v>61</v>
      </c>
      <c r="H14" s="2" t="s">
        <v>79</v>
      </c>
    </row>
    <row r="15" spans="1:8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tr">
        <f t="shared" si="0"/>
        <v>carmennel</v>
      </c>
      <c r="F15" s="2" t="s">
        <v>4</v>
      </c>
      <c r="G15" s="2" t="s">
        <v>66</v>
      </c>
      <c r="H15" s="2" t="s">
        <v>79</v>
      </c>
    </row>
    <row r="16" spans="1:8" x14ac:dyDescent="0.25">
      <c r="A16" s="2" t="s">
        <v>67</v>
      </c>
      <c r="B16" s="2" t="s">
        <v>54</v>
      </c>
      <c r="C16" s="2" t="s">
        <v>53</v>
      </c>
      <c r="D16" s="2" t="s">
        <v>55</v>
      </c>
      <c r="E16" s="2" t="str">
        <f t="shared" si="0"/>
        <v>KayiseKhumalo</v>
      </c>
      <c r="F16" s="2" t="s">
        <v>23</v>
      </c>
      <c r="G16" s="2" t="s">
        <v>68</v>
      </c>
      <c r="H16" s="2" t="s">
        <v>80</v>
      </c>
    </row>
  </sheetData>
  <autoFilter ref="A1:H1" xr:uid="{9D89B5F8-6565-44EE-B85C-C95CA94E35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4E28-A848-4F31-AA41-8A9AEEBEFFB4}">
  <dimension ref="A1:E31"/>
  <sheetViews>
    <sheetView tabSelected="1" workbookViewId="0">
      <selection activeCell="B7" sqref="B7"/>
    </sheetView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86</v>
      </c>
      <c r="B1" t="s">
        <v>88</v>
      </c>
    </row>
    <row r="3" spans="1:5" x14ac:dyDescent="0.25">
      <c r="A3" s="3" t="s">
        <v>108</v>
      </c>
      <c r="B3" s="3" t="s">
        <v>91</v>
      </c>
    </row>
    <row r="4" spans="1:5" x14ac:dyDescent="0.25">
      <c r="A4" s="3" t="s">
        <v>89</v>
      </c>
      <c r="B4" t="s">
        <v>12</v>
      </c>
      <c r="C4" t="s">
        <v>23</v>
      </c>
      <c r="D4" t="s">
        <v>4</v>
      </c>
      <c r="E4" t="s">
        <v>90</v>
      </c>
    </row>
    <row r="5" spans="1:5" x14ac:dyDescent="0.25">
      <c r="A5" s="4" t="s">
        <v>80</v>
      </c>
      <c r="B5" s="6"/>
      <c r="C5" s="6">
        <v>1</v>
      </c>
      <c r="D5" s="6"/>
      <c r="E5" s="6">
        <v>1</v>
      </c>
    </row>
    <row r="6" spans="1:5" x14ac:dyDescent="0.25">
      <c r="A6" s="5" t="s">
        <v>95</v>
      </c>
      <c r="B6" s="6"/>
      <c r="C6" s="6">
        <v>1</v>
      </c>
      <c r="D6" s="6"/>
      <c r="E6" s="6">
        <v>1</v>
      </c>
    </row>
    <row r="7" spans="1:5" x14ac:dyDescent="0.25">
      <c r="A7" s="4" t="s">
        <v>71</v>
      </c>
      <c r="B7" s="6"/>
      <c r="C7" s="6">
        <v>1</v>
      </c>
      <c r="D7" s="6"/>
      <c r="E7" s="6">
        <v>1</v>
      </c>
    </row>
    <row r="8" spans="1:5" x14ac:dyDescent="0.25">
      <c r="A8" s="5" t="s">
        <v>96</v>
      </c>
      <c r="B8" s="6"/>
      <c r="C8" s="6">
        <v>1</v>
      </c>
      <c r="D8" s="6"/>
      <c r="E8" s="6">
        <v>1</v>
      </c>
    </row>
    <row r="9" spans="1:5" x14ac:dyDescent="0.25">
      <c r="A9" s="4" t="s">
        <v>76</v>
      </c>
      <c r="B9" s="6"/>
      <c r="C9" s="6"/>
      <c r="D9" s="6">
        <v>1</v>
      </c>
      <c r="E9" s="6">
        <v>1</v>
      </c>
    </row>
    <row r="10" spans="1:5" x14ac:dyDescent="0.25">
      <c r="A10" s="5" t="s">
        <v>97</v>
      </c>
      <c r="B10" s="6"/>
      <c r="C10" s="6"/>
      <c r="D10" s="6">
        <v>1</v>
      </c>
      <c r="E10" s="6">
        <v>1</v>
      </c>
    </row>
    <row r="11" spans="1:5" x14ac:dyDescent="0.25">
      <c r="A11" s="4" t="s">
        <v>69</v>
      </c>
      <c r="B11" s="6">
        <v>1</v>
      </c>
      <c r="C11" s="6"/>
      <c r="D11" s="6">
        <v>2</v>
      </c>
      <c r="E11" s="6">
        <v>3</v>
      </c>
    </row>
    <row r="12" spans="1:5" x14ac:dyDescent="0.25">
      <c r="A12" s="5" t="s">
        <v>98</v>
      </c>
      <c r="B12" s="6"/>
      <c r="C12" s="6"/>
      <c r="D12" s="6">
        <v>1</v>
      </c>
      <c r="E12" s="6">
        <v>1</v>
      </c>
    </row>
    <row r="13" spans="1:5" x14ac:dyDescent="0.25">
      <c r="A13" s="5" t="s">
        <v>99</v>
      </c>
      <c r="B13" s="6">
        <v>1</v>
      </c>
      <c r="C13" s="6"/>
      <c r="D13" s="6">
        <v>1</v>
      </c>
      <c r="E13" s="6">
        <v>2</v>
      </c>
    </row>
    <row r="14" spans="1:5" x14ac:dyDescent="0.25">
      <c r="A14" s="4" t="s">
        <v>75</v>
      </c>
      <c r="B14" s="6"/>
      <c r="C14" s="6">
        <v>1</v>
      </c>
      <c r="D14" s="6"/>
      <c r="E14" s="6">
        <v>1</v>
      </c>
    </row>
    <row r="15" spans="1:5" x14ac:dyDescent="0.25">
      <c r="A15" s="5" t="s">
        <v>100</v>
      </c>
      <c r="B15" s="6"/>
      <c r="C15" s="6">
        <v>1</v>
      </c>
      <c r="D15" s="6"/>
      <c r="E15" s="6">
        <v>1</v>
      </c>
    </row>
    <row r="16" spans="1:5" x14ac:dyDescent="0.25">
      <c r="A16" s="4" t="s">
        <v>74</v>
      </c>
      <c r="B16" s="6"/>
      <c r="C16" s="6">
        <v>1</v>
      </c>
      <c r="D16" s="6"/>
      <c r="E16" s="6">
        <v>1</v>
      </c>
    </row>
    <row r="17" spans="1:5" x14ac:dyDescent="0.25">
      <c r="A17" s="5" t="s">
        <v>101</v>
      </c>
      <c r="B17" s="6"/>
      <c r="C17" s="6">
        <v>1</v>
      </c>
      <c r="D17" s="6"/>
      <c r="E17" s="6">
        <v>1</v>
      </c>
    </row>
    <row r="18" spans="1:5" x14ac:dyDescent="0.25">
      <c r="A18" s="4" t="s">
        <v>79</v>
      </c>
      <c r="B18" s="6"/>
      <c r="C18" s="6"/>
      <c r="D18" s="6">
        <v>2</v>
      </c>
      <c r="E18" s="6">
        <v>2</v>
      </c>
    </row>
    <row r="19" spans="1:5" x14ac:dyDescent="0.25">
      <c r="A19" s="5" t="s">
        <v>102</v>
      </c>
      <c r="B19" s="6"/>
      <c r="C19" s="6"/>
      <c r="D19" s="6">
        <v>1</v>
      </c>
      <c r="E19" s="6">
        <v>1</v>
      </c>
    </row>
    <row r="20" spans="1:5" x14ac:dyDescent="0.25">
      <c r="A20" s="5" t="s">
        <v>103</v>
      </c>
      <c r="B20" s="6"/>
      <c r="C20" s="6"/>
      <c r="D20" s="6">
        <v>1</v>
      </c>
      <c r="E20" s="6">
        <v>1</v>
      </c>
    </row>
    <row r="21" spans="1:5" x14ac:dyDescent="0.25">
      <c r="A21" s="4" t="s">
        <v>77</v>
      </c>
      <c r="B21" s="6"/>
      <c r="C21" s="6">
        <v>1</v>
      </c>
      <c r="D21" s="6"/>
      <c r="E21" s="6">
        <v>1</v>
      </c>
    </row>
    <row r="22" spans="1:5" x14ac:dyDescent="0.25">
      <c r="A22" s="5" t="s">
        <v>104</v>
      </c>
      <c r="B22" s="6"/>
      <c r="C22" s="6">
        <v>1</v>
      </c>
      <c r="D22" s="6"/>
      <c r="E22" s="6">
        <v>1</v>
      </c>
    </row>
    <row r="23" spans="1:5" x14ac:dyDescent="0.25">
      <c r="A23" s="4" t="s">
        <v>73</v>
      </c>
      <c r="B23" s="6"/>
      <c r="C23" s="6">
        <v>1</v>
      </c>
      <c r="D23" s="6"/>
      <c r="E23" s="6">
        <v>1</v>
      </c>
    </row>
    <row r="24" spans="1:5" x14ac:dyDescent="0.25">
      <c r="A24" s="5" t="s">
        <v>105</v>
      </c>
      <c r="B24" s="6"/>
      <c r="C24" s="6">
        <v>1</v>
      </c>
      <c r="D24" s="6"/>
      <c r="E24" s="6">
        <v>1</v>
      </c>
    </row>
    <row r="25" spans="1:5" x14ac:dyDescent="0.25">
      <c r="A25" s="4" t="s">
        <v>78</v>
      </c>
      <c r="B25" s="6"/>
      <c r="C25" s="6">
        <v>1</v>
      </c>
      <c r="D25" s="6"/>
      <c r="E25" s="6">
        <v>1</v>
      </c>
    </row>
    <row r="26" spans="1:5" x14ac:dyDescent="0.25">
      <c r="A26" s="5" t="s">
        <v>95</v>
      </c>
      <c r="B26" s="6"/>
      <c r="C26" s="6">
        <v>1</v>
      </c>
      <c r="D26" s="6"/>
      <c r="E26" s="6">
        <v>1</v>
      </c>
    </row>
    <row r="27" spans="1:5" x14ac:dyDescent="0.25">
      <c r="A27" s="4" t="s">
        <v>70</v>
      </c>
      <c r="B27" s="6"/>
      <c r="C27" s="6"/>
      <c r="D27" s="6">
        <v>1</v>
      </c>
      <c r="E27" s="6">
        <v>1</v>
      </c>
    </row>
    <row r="28" spans="1:5" x14ac:dyDescent="0.25">
      <c r="A28" s="5" t="s">
        <v>106</v>
      </c>
      <c r="B28" s="6"/>
      <c r="C28" s="6"/>
      <c r="D28" s="6">
        <v>1</v>
      </c>
      <c r="E28" s="6">
        <v>1</v>
      </c>
    </row>
    <row r="29" spans="1:5" x14ac:dyDescent="0.25">
      <c r="A29" s="4" t="s">
        <v>72</v>
      </c>
      <c r="B29" s="6">
        <v>1</v>
      </c>
      <c r="C29" s="6"/>
      <c r="D29" s="6"/>
      <c r="E29" s="6">
        <v>1</v>
      </c>
    </row>
    <row r="30" spans="1:5" x14ac:dyDescent="0.25">
      <c r="A30" s="5" t="s">
        <v>107</v>
      </c>
      <c r="B30" s="6">
        <v>1</v>
      </c>
      <c r="C30" s="6"/>
      <c r="D30" s="6"/>
      <c r="E30" s="6">
        <v>1</v>
      </c>
    </row>
    <row r="31" spans="1:5" x14ac:dyDescent="0.25">
      <c r="A31" s="4" t="s">
        <v>90</v>
      </c>
      <c r="B31" s="6">
        <v>2</v>
      </c>
      <c r="C31" s="6">
        <v>7</v>
      </c>
      <c r="D31" s="6">
        <v>6</v>
      </c>
      <c r="E31" s="6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16C109-EC54-41B9-933E-A966246351AE}"/>
</file>

<file path=customXml/itemProps2.xml><?xml version="1.0" encoding="utf-8"?>
<ds:datastoreItem xmlns:ds="http://schemas.openxmlformats.org/officeDocument/2006/customXml" ds:itemID="{AFD4F2E8-7F3C-4D4D-BC5E-9BC720203D13}"/>
</file>

<file path=customXml/itemProps3.xml><?xml version="1.0" encoding="utf-8"?>
<ds:datastoreItem xmlns:ds="http://schemas.openxmlformats.org/officeDocument/2006/customXml" ds:itemID="{BDE996C1-E017-4B2C-BDBF-7BB8B7E239A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2026-02-12T14:38:33Z</dcterms:created>
  <dcterms:modified xsi:type="dcterms:W3CDTF">2026-02-12T14:44:20Z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