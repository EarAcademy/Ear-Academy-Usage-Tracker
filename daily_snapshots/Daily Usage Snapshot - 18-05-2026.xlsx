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andonBobbs\Desktop\"/>
    </mc:Choice>
  </mc:AlternateContent>
  <xr:revisionPtr revIDLastSave="0" documentId="8_{3DF36B3D-825D-4A64-A147-B40BDA81EA94}" xr6:coauthVersionLast="47" xr6:coauthVersionMax="47" xr10:uidLastSave="{00000000-0000-0000-0000-000000000000}"/>
  <bookViews>
    <workbookView xWindow="1560" yWindow="1560" windowWidth="21600" windowHeight="11295" activeTab="1" xr2:uid="{B82ABB36-43AB-414C-9806-16AA7C88AD23}"/>
  </bookViews>
  <sheets>
    <sheet name="Raw Data" sheetId="1" r:id="rId1"/>
    <sheet name="Pivot Table" sheetId="2" r:id="rId2"/>
  </sheets>
  <definedNames>
    <definedName name="_xlnm._FilterDatabase" localSheetId="0" hidden="1">'Raw Data'!$A$1:$J$1</definedName>
  </definedNames>
  <calcPr calcId="191029"/>
  <pivotCaches>
    <pivotCache cacheId="8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13" i="1" l="1"/>
  <c r="E3" i="1"/>
  <c r="E4" i="1"/>
  <c r="E5" i="1"/>
  <c r="E6" i="1"/>
  <c r="E7" i="1"/>
  <c r="E8" i="1"/>
  <c r="E9" i="1"/>
  <c r="E10" i="1"/>
  <c r="E11" i="1"/>
  <c r="E12" i="1"/>
  <c r="E14" i="1"/>
  <c r="E15" i="1"/>
  <c r="E16" i="1"/>
  <c r="E17" i="1"/>
  <c r="E18" i="1"/>
  <c r="E19" i="1"/>
  <c r="E2" i="1"/>
</calcChain>
</file>

<file path=xl/sharedStrings.xml><?xml version="1.0" encoding="utf-8"?>
<sst xmlns="http://schemas.openxmlformats.org/spreadsheetml/2006/main" count="226" uniqueCount="143">
  <si>
    <t>user1779109672.9499</t>
  </si>
  <si>
    <t>lucavanderwesthuizen@koaacademy.com</t>
  </si>
  <si>
    <t>Luca</t>
  </si>
  <si>
    <t>van der Westhuizen</t>
  </si>
  <si>
    <t>Participant</t>
  </si>
  <si>
    <t>Monday, 18 May 2026 at 15:41</t>
  </si>
  <si>
    <t>Koa Academy</t>
  </si>
  <si>
    <t>user1771319370.152</t>
  </si>
  <si>
    <t>debbie@koaacademy.com</t>
  </si>
  <si>
    <t>Debbie</t>
  </si>
  <si>
    <t>Fanti</t>
  </si>
  <si>
    <t>School Administrator</t>
  </si>
  <si>
    <t>Monday, 18 May 2026 at 15:07</t>
  </si>
  <si>
    <t>user1772534643.0993</t>
  </si>
  <si>
    <t>400590tvp@acudeo.co.za</t>
  </si>
  <si>
    <t>Lilly</t>
  </si>
  <si>
    <t>Tibana</t>
  </si>
  <si>
    <t>Monday, 18 May 2026 at 14:19</t>
  </si>
  <si>
    <t>user1776929387.3419</t>
  </si>
  <si>
    <t>yaqeen.francis@phs.org.za</t>
  </si>
  <si>
    <t>Yaqeen</t>
  </si>
  <si>
    <t>Francis</t>
  </si>
  <si>
    <t>Monday, 18 May 2026 at 14:17</t>
  </si>
  <si>
    <t>Pinelands High School</t>
  </si>
  <si>
    <t>WhitePeanut</t>
  </si>
  <si>
    <t>noahbarry@koaacademy.com</t>
  </si>
  <si>
    <t>Noah</t>
  </si>
  <si>
    <t>Barry</t>
  </si>
  <si>
    <t>Monday, 18 May 2026 at 13:28</t>
  </si>
  <si>
    <t>user1757317389.7527</t>
  </si>
  <si>
    <t>kmailula@cbcpretoria.co.za</t>
  </si>
  <si>
    <t>Kgaogelo Mailula</t>
  </si>
  <si>
    <t>Mailula</t>
  </si>
  <si>
    <t>Monday, 18 May 2026 at 12:55</t>
  </si>
  <si>
    <t>CBC Mount Edmund</t>
  </si>
  <si>
    <t>user1776934700.5753</t>
  </si>
  <si>
    <t>lntuli@greenwoodschool.co.za</t>
  </si>
  <si>
    <t>Libongo</t>
  </si>
  <si>
    <t>Ntuli</t>
  </si>
  <si>
    <t>Teacher</t>
  </si>
  <si>
    <t>Monday, 18 May 2026 at 12:32</t>
  </si>
  <si>
    <t>The Ear Academy</t>
  </si>
  <si>
    <t>user1750761885.5439</t>
  </si>
  <si>
    <t>mariafouche7@gmail.com</t>
  </si>
  <si>
    <t>Maria</t>
  </si>
  <si>
    <t>Fouche</t>
  </si>
  <si>
    <t>Monday, 18 May 2026 at 12:29</t>
  </si>
  <si>
    <t>Kammaland Primary School</t>
  </si>
  <si>
    <t>user1768974295.6596</t>
  </si>
  <si>
    <t>trish3maggs@gmail.com</t>
  </si>
  <si>
    <t>Patricia</t>
  </si>
  <si>
    <t>Zambuko</t>
  </si>
  <si>
    <t>Monday, 18 May 2026 at 12:23</t>
  </si>
  <si>
    <t>Hazyview Private Primary School</t>
  </si>
  <si>
    <t>user1757327710.9386</t>
  </si>
  <si>
    <t>ilze.vanwyk@reddam.house</t>
  </si>
  <si>
    <t>Ilze</t>
  </si>
  <si>
    <t>van Wyk</t>
  </si>
  <si>
    <t>Monday, 18 May 2026 at 12:08</t>
  </si>
  <si>
    <t>Reddam House Helderfontein</t>
  </si>
  <si>
    <t>Stephanie Kusel</t>
  </si>
  <si>
    <t>skusel@amberfieldcollege.co.za</t>
  </si>
  <si>
    <t>Stephanie</t>
  </si>
  <si>
    <t>Kusel</t>
  </si>
  <si>
    <t>Monday, 18 May 2026 at 12:07</t>
  </si>
  <si>
    <t>Amberfield College</t>
  </si>
  <si>
    <t>user1778071291.4318</t>
  </si>
  <si>
    <t>it@pnps.co.za</t>
  </si>
  <si>
    <t>Pinelands North Primary School</t>
  </si>
  <si>
    <t>Monday, 18 May 2026 at 11:33</t>
  </si>
  <si>
    <t>user1774955528.667</t>
  </si>
  <si>
    <t>amy.miles@generationschools.co.za</t>
  </si>
  <si>
    <t>Amy</t>
  </si>
  <si>
    <t>Druce</t>
  </si>
  <si>
    <t>Monday, 18 May 2026 at 10:47</t>
  </si>
  <si>
    <t>user1759926404.3845</t>
  </si>
  <si>
    <t>martincoetsee00@gmail.com</t>
  </si>
  <si>
    <t>Martin</t>
  </si>
  <si>
    <t>Coetsee</t>
  </si>
  <si>
    <t>Monday, 18 May 2026 at 10:30</t>
  </si>
  <si>
    <t>user1765984012.5367</t>
  </si>
  <si>
    <t>g.dutoit@hmbschool.co.za</t>
  </si>
  <si>
    <t>du Toit</t>
  </si>
  <si>
    <t>Monday, 18 May 2026 at 10:23</t>
  </si>
  <si>
    <t>Hermannsburg School</t>
  </si>
  <si>
    <t>user1772534476.8871</t>
  </si>
  <si>
    <t>400828tvp@acudeo.co.za</t>
  </si>
  <si>
    <t>Odirile</t>
  </si>
  <si>
    <t>Thoane</t>
  </si>
  <si>
    <t>Monday, 18 May 2026 at 09:30</t>
  </si>
  <si>
    <t>user1772534541.4771</t>
  </si>
  <si>
    <t>401001tvp@acudeo.co.za</t>
  </si>
  <si>
    <t>Onthatile</t>
  </si>
  <si>
    <t>Nkunzi</t>
  </si>
  <si>
    <t>Monday, 18 May 2026 at 09:15</t>
  </si>
  <si>
    <t>user1760945966.0881</t>
  </si>
  <si>
    <t>art@bayprimary.co.za</t>
  </si>
  <si>
    <t>Megan</t>
  </si>
  <si>
    <t>Black</t>
  </si>
  <si>
    <t>Monday, 18 May 2026 at 08:17</t>
  </si>
  <si>
    <t>Bay Primary</t>
  </si>
  <si>
    <t>Username</t>
  </si>
  <si>
    <t>Email Address</t>
  </si>
  <si>
    <t>First Name</t>
  </si>
  <si>
    <t>Surname</t>
  </si>
  <si>
    <t>UserRoles</t>
  </si>
  <si>
    <t>Date &amp; Time</t>
  </si>
  <si>
    <t>School Name</t>
  </si>
  <si>
    <t>Product Type</t>
  </si>
  <si>
    <t>Billing Status</t>
  </si>
  <si>
    <t>Full Name</t>
  </si>
  <si>
    <t>Instrumental</t>
  </si>
  <si>
    <t>Acudeo Thornview</t>
  </si>
  <si>
    <t>Gerard</t>
  </si>
  <si>
    <t xml:space="preserve">Martin </t>
  </si>
  <si>
    <t>Adamson</t>
  </si>
  <si>
    <t>Classroom &amp; Instrumental</t>
  </si>
  <si>
    <t>Classroom</t>
  </si>
  <si>
    <t>Demo</t>
  </si>
  <si>
    <t>Paying</t>
  </si>
  <si>
    <t>Row Labels</t>
  </si>
  <si>
    <t>Grand Total</t>
  </si>
  <si>
    <t>(All)</t>
  </si>
  <si>
    <t>Column Labels</t>
  </si>
  <si>
    <t>Count of Full Name</t>
  </si>
  <si>
    <t>LillyTibana</t>
  </si>
  <si>
    <t>OdirileThoane</t>
  </si>
  <si>
    <t>OnthatileNkunzi</t>
  </si>
  <si>
    <t>StephanieKusel</t>
  </si>
  <si>
    <t>MeganBlack</t>
  </si>
  <si>
    <t>Kgaogelo MailulaMailula</t>
  </si>
  <si>
    <t>PatriciaZambuko</t>
  </si>
  <si>
    <t>Gerarddu Toit</t>
  </si>
  <si>
    <t>MariaFouche</t>
  </si>
  <si>
    <t>MartinCoetsee</t>
  </si>
  <si>
    <t>DebbieFanti</t>
  </si>
  <si>
    <t>Lucavan der Westhuizen</t>
  </si>
  <si>
    <t>NoahBarry</t>
  </si>
  <si>
    <t>YaqeenFrancis</t>
  </si>
  <si>
    <t>Martin Adamson</t>
  </si>
  <si>
    <t>Ilzevan Wyk</t>
  </si>
  <si>
    <t>AmyDruce</t>
  </si>
  <si>
    <t>LibongoNtuli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</si>
</sst>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  <xf numFmtId="0" fontId="0" fillId="0" borderId="0" xfId="0" applyAlignment="1">
      <alignment horizontal="left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randon Bobbs" refreshedDate="46160.661050347226" createdVersion="8" refreshedVersion="8" minRefreshableVersion="3" recordCount="18" xr:uid="{5D83ED14-3502-412F-80BB-9DB30034EA40}">
  <cacheSource type="worksheet">
    <worksheetSource ref="A1:J19" sheet="Raw Data"/>
  </cacheSource>
  <cacheFields count="10">
    <cacheField name="Username" numFmtId="0">
      <sharedItems/>
    </cacheField>
    <cacheField name="Email Address" numFmtId="0">
      <sharedItems/>
    </cacheField>
    <cacheField name="First Name" numFmtId="0">
      <sharedItems/>
    </cacheField>
    <cacheField name="Surname" numFmtId="0">
      <sharedItems/>
    </cacheField>
    <cacheField name="Full Name" numFmtId="0">
      <sharedItems count="18">
        <s v="Lucavan der Westhuizen"/>
        <s v="DebbieFanti"/>
        <s v="LillyTibana"/>
        <s v="YaqeenFrancis"/>
        <s v="NoahBarry"/>
        <s v="Kgaogelo MailulaMailula"/>
        <s v="LibongoNtuli"/>
        <s v="MariaFouche"/>
        <s v="PatriciaZambuko"/>
        <s v="Ilzevan Wyk"/>
        <s v="StephanieKusel"/>
        <s v="Martin Adamson"/>
        <s v="AmyDruce"/>
        <s v="MartinCoetsee"/>
        <s v="Gerarddu Toit"/>
        <s v="OdirileThoane"/>
        <s v="OnthatileNkunzi"/>
        <s v="MeganBlack"/>
      </sharedItems>
    </cacheField>
    <cacheField name="UserRoles" numFmtId="0">
      <sharedItems count="3">
        <s v="Participant"/>
        <s v="School Administrator"/>
        <s v="Teacher"/>
      </sharedItems>
    </cacheField>
    <cacheField name="Date &amp; Time" numFmtId="0">
      <sharedItems count="18">
        <s v="Monday, 18 May 2026 at 15:41"/>
        <s v="Monday, 18 May 2026 at 15:07"/>
        <s v="Monday, 18 May 2026 at 14:19"/>
        <s v="Monday, 18 May 2026 at 14:17"/>
        <s v="Monday, 18 May 2026 at 13:28"/>
        <s v="Monday, 18 May 2026 at 12:55"/>
        <s v="Monday, 18 May 2026 at 12:32"/>
        <s v="Monday, 18 May 2026 at 12:29"/>
        <s v="Monday, 18 May 2026 at 12:23"/>
        <s v="Monday, 18 May 2026 at 12:08"/>
        <s v="Monday, 18 May 2026 at 12:07"/>
        <s v="Monday, 18 May 2026 at 11:33"/>
        <s v="Monday, 18 May 2026 at 10:47"/>
        <s v="Monday, 18 May 2026 at 10:30"/>
        <s v="Monday, 18 May 2026 at 10:23"/>
        <s v="Monday, 18 May 2026 at 09:30"/>
        <s v="Monday, 18 May 2026 at 09:15"/>
        <s v="Monday, 18 May 2026 at 08:17"/>
      </sharedItems>
    </cacheField>
    <cacheField name="School Name" numFmtId="0">
      <sharedItems count="12">
        <s v="Koa Academy"/>
        <s v="Acudeo Thornview"/>
        <s v="Pinelands High School"/>
        <s v="CBC Mount Edmund"/>
        <s v="The Ear Academy"/>
        <s v="Kammaland Primary School"/>
        <s v="Hazyview Private Primary School"/>
        <s v="Reddam House Helderfontein"/>
        <s v="Amberfield College"/>
        <s v="Pinelands North Primary School"/>
        <s v="Hermannsburg School"/>
        <s v="Bay Primary"/>
      </sharedItems>
    </cacheField>
    <cacheField name="Product Type" numFmtId="0">
      <sharedItems count="3">
        <s v="Instrumental"/>
        <s v="Classroom &amp; Instrumental"/>
        <s v="Classroom"/>
      </sharedItems>
    </cacheField>
    <cacheField name="Billing Status" numFmtId="0">
      <sharedItems count="2">
        <s v="Paying"/>
        <s v="Demo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">
  <r>
    <s v="user1779109672.9499"/>
    <s v="lucavanderwesthuizen@koaacademy.com"/>
    <s v="Luca"/>
    <s v="van der Westhuizen"/>
    <x v="0"/>
    <x v="0"/>
    <x v="0"/>
    <x v="0"/>
    <x v="0"/>
    <x v="0"/>
  </r>
  <r>
    <s v="user1771319370.152"/>
    <s v="debbie@koaacademy.com"/>
    <s v="Debbie"/>
    <s v="Fanti"/>
    <x v="1"/>
    <x v="1"/>
    <x v="1"/>
    <x v="0"/>
    <x v="0"/>
    <x v="0"/>
  </r>
  <r>
    <s v="user1772534643.0993"/>
    <s v="400590tvp@acudeo.co.za"/>
    <s v="Lilly"/>
    <s v="Tibana"/>
    <x v="2"/>
    <x v="0"/>
    <x v="2"/>
    <x v="1"/>
    <x v="1"/>
    <x v="0"/>
  </r>
  <r>
    <s v="user1776929387.3419"/>
    <s v="yaqeen.francis@phs.org.za"/>
    <s v="Yaqeen"/>
    <s v="Francis"/>
    <x v="3"/>
    <x v="0"/>
    <x v="3"/>
    <x v="2"/>
    <x v="2"/>
    <x v="0"/>
  </r>
  <r>
    <s v="WhitePeanut"/>
    <s v="noahbarry@koaacademy.com"/>
    <s v="Noah"/>
    <s v="Barry"/>
    <x v="4"/>
    <x v="0"/>
    <x v="4"/>
    <x v="0"/>
    <x v="0"/>
    <x v="0"/>
  </r>
  <r>
    <s v="user1757317389.7527"/>
    <s v="kmailula@cbcpretoria.co.za"/>
    <s v="Kgaogelo Mailula"/>
    <s v="Mailula"/>
    <x v="5"/>
    <x v="1"/>
    <x v="5"/>
    <x v="3"/>
    <x v="2"/>
    <x v="0"/>
  </r>
  <r>
    <s v="user1776934700.5753"/>
    <s v="lntuli@greenwoodschool.co.za"/>
    <s v="Libongo"/>
    <s v="Ntuli"/>
    <x v="6"/>
    <x v="2"/>
    <x v="6"/>
    <x v="4"/>
    <x v="2"/>
    <x v="1"/>
  </r>
  <r>
    <s v="user1750761885.5439"/>
    <s v="mariafouche7@gmail.com"/>
    <s v="Maria"/>
    <s v="Fouche"/>
    <x v="7"/>
    <x v="2"/>
    <x v="7"/>
    <x v="5"/>
    <x v="2"/>
    <x v="0"/>
  </r>
  <r>
    <s v="user1768974295.6596"/>
    <s v="trish3maggs@gmail.com"/>
    <s v="Patricia"/>
    <s v="Zambuko"/>
    <x v="8"/>
    <x v="2"/>
    <x v="8"/>
    <x v="6"/>
    <x v="2"/>
    <x v="0"/>
  </r>
  <r>
    <s v="user1757327710.9386"/>
    <s v="ilze.vanwyk@reddam.house"/>
    <s v="Ilze"/>
    <s v="van Wyk"/>
    <x v="9"/>
    <x v="1"/>
    <x v="9"/>
    <x v="7"/>
    <x v="2"/>
    <x v="0"/>
  </r>
  <r>
    <s v="Stephanie Kusel"/>
    <s v="skusel@amberfieldcollege.co.za"/>
    <s v="Stephanie"/>
    <s v="Kusel"/>
    <x v="10"/>
    <x v="2"/>
    <x v="10"/>
    <x v="8"/>
    <x v="1"/>
    <x v="0"/>
  </r>
  <r>
    <s v="user1778071291.4318"/>
    <s v="it@pnps.co.za"/>
    <s v="Martin "/>
    <s v="Adamson"/>
    <x v="11"/>
    <x v="1"/>
    <x v="11"/>
    <x v="9"/>
    <x v="2"/>
    <x v="0"/>
  </r>
  <r>
    <s v="user1774955528.667"/>
    <s v="amy.miles@generationschools.co.za"/>
    <s v="Amy"/>
    <s v="Druce"/>
    <x v="12"/>
    <x v="2"/>
    <x v="12"/>
    <x v="4"/>
    <x v="2"/>
    <x v="1"/>
  </r>
  <r>
    <s v="user1759926404.3845"/>
    <s v="martincoetsee00@gmail.com"/>
    <s v="Martin"/>
    <s v="Coetsee"/>
    <x v="13"/>
    <x v="1"/>
    <x v="13"/>
    <x v="5"/>
    <x v="2"/>
    <x v="0"/>
  </r>
  <r>
    <s v="user1765984012.5367"/>
    <s v="g.dutoit@hmbschool.co.za"/>
    <s v="Gerard"/>
    <s v="du Toit"/>
    <x v="14"/>
    <x v="1"/>
    <x v="14"/>
    <x v="10"/>
    <x v="2"/>
    <x v="0"/>
  </r>
  <r>
    <s v="user1772534476.8871"/>
    <s v="400828tvp@acudeo.co.za"/>
    <s v="Odirile"/>
    <s v="Thoane"/>
    <x v="15"/>
    <x v="0"/>
    <x v="15"/>
    <x v="1"/>
    <x v="1"/>
    <x v="0"/>
  </r>
  <r>
    <s v="user1772534541.4771"/>
    <s v="401001tvp@acudeo.co.za"/>
    <s v="Onthatile"/>
    <s v="Nkunzi"/>
    <x v="16"/>
    <x v="0"/>
    <x v="16"/>
    <x v="1"/>
    <x v="1"/>
    <x v="0"/>
  </r>
  <r>
    <s v="user1760945966.0881"/>
    <s v="art@bayprimary.co.za"/>
    <s v="Megan"/>
    <s v="Black"/>
    <x v="17"/>
    <x v="1"/>
    <x v="17"/>
    <x v="11"/>
    <x v="2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4A685B-1CF0-4598-A797-732903FB8820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E48" firstHeaderRow="1" firstDataRow="2" firstDataCol="1" rowPageCount="2" colPageCount="1"/>
  <pivotFields count="10">
    <pivotField showAll="0"/>
    <pivotField showAll="0"/>
    <pivotField showAll="0"/>
    <pivotField showAll="0"/>
    <pivotField axis="axisRow" dataField="1" showAll="0">
      <items count="19">
        <item x="12"/>
        <item x="1"/>
        <item x="14"/>
        <item x="9"/>
        <item x="5"/>
        <item x="6"/>
        <item x="2"/>
        <item x="0"/>
        <item x="7"/>
        <item x="11"/>
        <item x="13"/>
        <item x="17"/>
        <item x="4"/>
        <item x="15"/>
        <item x="16"/>
        <item x="8"/>
        <item x="10"/>
        <item x="3"/>
        <item t="default"/>
      </items>
    </pivotField>
    <pivotField axis="axisCol" showAll="0">
      <items count="4">
        <item x="0"/>
        <item x="1"/>
        <item x="2"/>
        <item t="default"/>
      </items>
    </pivotField>
    <pivotField axis="axisPage" showAll="0">
      <items count="19"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axis="axisRow" showAll="0">
      <items count="13">
        <item x="1"/>
        <item x="8"/>
        <item x="11"/>
        <item x="3"/>
        <item x="6"/>
        <item x="10"/>
        <item x="5"/>
        <item x="0"/>
        <item x="2"/>
        <item x="9"/>
        <item x="7"/>
        <item x="4"/>
        <item t="default"/>
      </items>
    </pivotField>
    <pivotField axis="axisRow" showAll="0">
      <items count="4">
        <item x="2"/>
        <item x="1"/>
        <item x="0"/>
        <item t="default"/>
      </items>
    </pivotField>
    <pivotField axis="axisPage" showAll="0">
      <items count="3">
        <item x="1"/>
        <item x="0"/>
        <item t="default"/>
      </items>
    </pivotField>
  </pivotFields>
  <rowFields count="3">
    <field x="7"/>
    <field x="8"/>
    <field x="4"/>
  </rowFields>
  <rowItems count="43">
    <i>
      <x/>
    </i>
    <i r="1">
      <x v="1"/>
    </i>
    <i r="2">
      <x v="6"/>
    </i>
    <i r="2">
      <x v="13"/>
    </i>
    <i r="2">
      <x v="14"/>
    </i>
    <i>
      <x v="1"/>
    </i>
    <i r="1">
      <x v="1"/>
    </i>
    <i r="2">
      <x v="16"/>
    </i>
    <i>
      <x v="2"/>
    </i>
    <i r="1">
      <x/>
    </i>
    <i r="2">
      <x v="11"/>
    </i>
    <i>
      <x v="3"/>
    </i>
    <i r="1">
      <x/>
    </i>
    <i r="2">
      <x v="4"/>
    </i>
    <i>
      <x v="4"/>
    </i>
    <i r="1">
      <x/>
    </i>
    <i r="2">
      <x v="15"/>
    </i>
    <i>
      <x v="5"/>
    </i>
    <i r="1">
      <x/>
    </i>
    <i r="2">
      <x v="2"/>
    </i>
    <i>
      <x v="6"/>
    </i>
    <i r="1">
      <x/>
    </i>
    <i r="2">
      <x v="8"/>
    </i>
    <i r="2">
      <x v="10"/>
    </i>
    <i>
      <x v="7"/>
    </i>
    <i r="1">
      <x v="2"/>
    </i>
    <i r="2">
      <x v="1"/>
    </i>
    <i r="2">
      <x v="7"/>
    </i>
    <i r="2">
      <x v="12"/>
    </i>
    <i>
      <x v="8"/>
    </i>
    <i r="1">
      <x/>
    </i>
    <i r="2">
      <x v="17"/>
    </i>
    <i>
      <x v="9"/>
    </i>
    <i r="1">
      <x/>
    </i>
    <i r="2">
      <x v="9"/>
    </i>
    <i>
      <x v="10"/>
    </i>
    <i r="1">
      <x/>
    </i>
    <i r="2">
      <x v="3"/>
    </i>
    <i>
      <x v="11"/>
    </i>
    <i r="1">
      <x/>
    </i>
    <i r="2">
      <x/>
    </i>
    <i r="2">
      <x v="5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pageFields count="2">
    <pageField fld="9" hier="-1"/>
    <pageField fld="6" hier="-1"/>
  </pageFields>
  <dataFields count="1">
    <dataField name="Count of Full Name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289DA-9273-4A54-8BD7-8A7840CB09F9}">
  <dimension ref="A1:J19"/>
  <sheetViews>
    <sheetView topLeftCell="D1" zoomScaleNormal="100" workbookViewId="0">
      <selection activeCell="K17" sqref="K17"/>
    </sheetView>
  </sheetViews>
  <sheetFormatPr defaultRowHeight="15" x14ac:dyDescent="0.25"/>
  <cols>
    <col min="1" max="1" width="27.7109375" bestFit="1" customWidth="1"/>
    <col min="2" max="2" width="39.140625" bestFit="1" customWidth="1"/>
    <col min="3" max="3" width="23.140625" bestFit="1" customWidth="1"/>
    <col min="4" max="4" width="29.7109375" bestFit="1" customWidth="1"/>
    <col min="5" max="5" width="29.7109375" customWidth="1"/>
    <col min="6" max="6" width="19.85546875" bestFit="1" customWidth="1"/>
    <col min="7" max="7" width="27.85546875" bestFit="1" customWidth="1"/>
    <col min="8" max="8" width="47.85546875" bestFit="1" customWidth="1"/>
    <col min="9" max="9" width="24.42578125" bestFit="1" customWidth="1"/>
    <col min="10" max="10" width="12.42578125" bestFit="1" customWidth="1"/>
  </cols>
  <sheetData>
    <row r="1" spans="1:10" x14ac:dyDescent="0.25">
      <c r="A1" s="1" t="s">
        <v>101</v>
      </c>
      <c r="B1" s="1" t="s">
        <v>102</v>
      </c>
      <c r="C1" s="1" t="s">
        <v>103</v>
      </c>
      <c r="D1" s="1" t="s">
        <v>104</v>
      </c>
      <c r="E1" s="1" t="s">
        <v>110</v>
      </c>
      <c r="F1" s="1" t="s">
        <v>105</v>
      </c>
      <c r="G1" s="1" t="s">
        <v>106</v>
      </c>
      <c r="H1" s="1" t="s">
        <v>107</v>
      </c>
      <c r="I1" s="1" t="s">
        <v>108</v>
      </c>
      <c r="J1" s="1" t="s">
        <v>109</v>
      </c>
    </row>
    <row r="2" spans="1:10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tr">
        <f>_xlfn.CONCAT(C2:D2)</f>
        <v>Lucavan der Westhuizen</v>
      </c>
      <c r="F2" s="2" t="s">
        <v>4</v>
      </c>
      <c r="G2" s="2" t="s">
        <v>5</v>
      </c>
      <c r="H2" s="2" t="s">
        <v>6</v>
      </c>
      <c r="I2" s="2" t="s">
        <v>111</v>
      </c>
      <c r="J2" s="2" t="s">
        <v>119</v>
      </c>
    </row>
    <row r="3" spans="1:10" x14ac:dyDescent="0.25">
      <c r="A3" s="2" t="s">
        <v>7</v>
      </c>
      <c r="B3" s="2" t="s">
        <v>8</v>
      </c>
      <c r="C3" s="2" t="s">
        <v>9</v>
      </c>
      <c r="D3" s="2" t="s">
        <v>10</v>
      </c>
      <c r="E3" s="2" t="str">
        <f t="shared" ref="E3:E19" si="0">_xlfn.CONCAT(C3:D3)</f>
        <v>DebbieFanti</v>
      </c>
      <c r="F3" s="2" t="s">
        <v>11</v>
      </c>
      <c r="G3" s="2" t="s">
        <v>12</v>
      </c>
      <c r="H3" s="2" t="s">
        <v>6</v>
      </c>
      <c r="I3" s="2" t="s">
        <v>111</v>
      </c>
      <c r="J3" s="2" t="s">
        <v>119</v>
      </c>
    </row>
    <row r="4" spans="1:10" x14ac:dyDescent="0.25">
      <c r="A4" s="2" t="s">
        <v>13</v>
      </c>
      <c r="B4" s="2" t="s">
        <v>14</v>
      </c>
      <c r="C4" s="2" t="s">
        <v>15</v>
      </c>
      <c r="D4" s="2" t="s">
        <v>16</v>
      </c>
      <c r="E4" s="2" t="str">
        <f t="shared" si="0"/>
        <v>LillyTibana</v>
      </c>
      <c r="F4" s="2" t="s">
        <v>4</v>
      </c>
      <c r="G4" s="2" t="s">
        <v>17</v>
      </c>
      <c r="H4" s="2" t="s">
        <v>112</v>
      </c>
      <c r="I4" s="2" t="s">
        <v>116</v>
      </c>
      <c r="J4" s="2" t="s">
        <v>119</v>
      </c>
    </row>
    <row r="5" spans="1:10" x14ac:dyDescent="0.25">
      <c r="A5" s="2" t="s">
        <v>18</v>
      </c>
      <c r="B5" s="2" t="s">
        <v>19</v>
      </c>
      <c r="C5" s="2" t="s">
        <v>20</v>
      </c>
      <c r="D5" s="2" t="s">
        <v>21</v>
      </c>
      <c r="E5" s="2" t="str">
        <f t="shared" si="0"/>
        <v>YaqeenFrancis</v>
      </c>
      <c r="F5" s="2" t="s">
        <v>4</v>
      </c>
      <c r="G5" s="2" t="s">
        <v>22</v>
      </c>
      <c r="H5" s="2" t="s">
        <v>23</v>
      </c>
      <c r="I5" s="2" t="s">
        <v>117</v>
      </c>
      <c r="J5" s="2" t="s">
        <v>119</v>
      </c>
    </row>
    <row r="6" spans="1:10" x14ac:dyDescent="0.25">
      <c r="A6" s="2" t="s">
        <v>24</v>
      </c>
      <c r="B6" s="2" t="s">
        <v>25</v>
      </c>
      <c r="C6" s="2" t="s">
        <v>26</v>
      </c>
      <c r="D6" s="2" t="s">
        <v>27</v>
      </c>
      <c r="E6" s="2" t="str">
        <f t="shared" si="0"/>
        <v>NoahBarry</v>
      </c>
      <c r="F6" s="2" t="s">
        <v>4</v>
      </c>
      <c r="G6" s="2" t="s">
        <v>28</v>
      </c>
      <c r="H6" s="2" t="s">
        <v>6</v>
      </c>
      <c r="I6" s="2" t="s">
        <v>111</v>
      </c>
      <c r="J6" s="2" t="s">
        <v>119</v>
      </c>
    </row>
    <row r="7" spans="1:10" x14ac:dyDescent="0.25">
      <c r="A7" s="2" t="s">
        <v>29</v>
      </c>
      <c r="B7" s="2" t="s">
        <v>30</v>
      </c>
      <c r="C7" s="2" t="s">
        <v>31</v>
      </c>
      <c r="D7" s="2" t="s">
        <v>32</v>
      </c>
      <c r="E7" s="2" t="str">
        <f t="shared" si="0"/>
        <v>Kgaogelo MailulaMailula</v>
      </c>
      <c r="F7" s="2" t="s">
        <v>11</v>
      </c>
      <c r="G7" s="2" t="s">
        <v>33</v>
      </c>
      <c r="H7" s="2" t="s">
        <v>34</v>
      </c>
      <c r="I7" s="2" t="s">
        <v>117</v>
      </c>
      <c r="J7" s="2" t="s">
        <v>119</v>
      </c>
    </row>
    <row r="8" spans="1:10" x14ac:dyDescent="0.25">
      <c r="A8" s="2" t="s">
        <v>35</v>
      </c>
      <c r="B8" s="2" t="s">
        <v>36</v>
      </c>
      <c r="C8" s="2" t="s">
        <v>37</v>
      </c>
      <c r="D8" s="2" t="s">
        <v>38</v>
      </c>
      <c r="E8" s="2" t="str">
        <f t="shared" si="0"/>
        <v>LibongoNtuli</v>
      </c>
      <c r="F8" s="2" t="s">
        <v>39</v>
      </c>
      <c r="G8" s="2" t="s">
        <v>40</v>
      </c>
      <c r="H8" s="2" t="s">
        <v>41</v>
      </c>
      <c r="I8" s="2" t="s">
        <v>117</v>
      </c>
      <c r="J8" s="2" t="s">
        <v>118</v>
      </c>
    </row>
    <row r="9" spans="1:10" x14ac:dyDescent="0.25">
      <c r="A9" s="2" t="s">
        <v>42</v>
      </c>
      <c r="B9" s="2" t="s">
        <v>43</v>
      </c>
      <c r="C9" s="2" t="s">
        <v>44</v>
      </c>
      <c r="D9" s="2" t="s">
        <v>45</v>
      </c>
      <c r="E9" s="2" t="str">
        <f t="shared" si="0"/>
        <v>MariaFouche</v>
      </c>
      <c r="F9" s="2" t="s">
        <v>39</v>
      </c>
      <c r="G9" s="2" t="s">
        <v>46</v>
      </c>
      <c r="H9" s="2" t="s">
        <v>47</v>
      </c>
      <c r="I9" s="2" t="s">
        <v>117</v>
      </c>
      <c r="J9" s="2" t="s">
        <v>119</v>
      </c>
    </row>
    <row r="10" spans="1:10" x14ac:dyDescent="0.25">
      <c r="A10" s="2" t="s">
        <v>48</v>
      </c>
      <c r="B10" s="2" t="s">
        <v>49</v>
      </c>
      <c r="C10" s="2" t="s">
        <v>50</v>
      </c>
      <c r="D10" s="2" t="s">
        <v>51</v>
      </c>
      <c r="E10" s="2" t="str">
        <f t="shared" si="0"/>
        <v>PatriciaZambuko</v>
      </c>
      <c r="F10" s="2" t="s">
        <v>39</v>
      </c>
      <c r="G10" s="2" t="s">
        <v>52</v>
      </c>
      <c r="H10" s="2" t="s">
        <v>53</v>
      </c>
      <c r="I10" s="2" t="s">
        <v>117</v>
      </c>
      <c r="J10" s="2" t="s">
        <v>119</v>
      </c>
    </row>
    <row r="11" spans="1:10" x14ac:dyDescent="0.25">
      <c r="A11" s="2" t="s">
        <v>54</v>
      </c>
      <c r="B11" s="2" t="s">
        <v>55</v>
      </c>
      <c r="C11" s="2" t="s">
        <v>56</v>
      </c>
      <c r="D11" s="2" t="s">
        <v>57</v>
      </c>
      <c r="E11" s="2" t="str">
        <f t="shared" si="0"/>
        <v>Ilzevan Wyk</v>
      </c>
      <c r="F11" s="2" t="s">
        <v>11</v>
      </c>
      <c r="G11" s="2" t="s">
        <v>58</v>
      </c>
      <c r="H11" s="2" t="s">
        <v>59</v>
      </c>
      <c r="I11" s="2" t="s">
        <v>117</v>
      </c>
      <c r="J11" s="2" t="s">
        <v>119</v>
      </c>
    </row>
    <row r="12" spans="1:10" x14ac:dyDescent="0.25">
      <c r="A12" s="2" t="s">
        <v>60</v>
      </c>
      <c r="B12" s="2" t="s">
        <v>61</v>
      </c>
      <c r="C12" s="2" t="s">
        <v>62</v>
      </c>
      <c r="D12" s="2" t="s">
        <v>63</v>
      </c>
      <c r="E12" s="2" t="str">
        <f t="shared" si="0"/>
        <v>StephanieKusel</v>
      </c>
      <c r="F12" s="2" t="s">
        <v>39</v>
      </c>
      <c r="G12" s="2" t="s">
        <v>64</v>
      </c>
      <c r="H12" s="2" t="s">
        <v>65</v>
      </c>
      <c r="I12" s="2" t="s">
        <v>116</v>
      </c>
      <c r="J12" s="2" t="s">
        <v>119</v>
      </c>
    </row>
    <row r="13" spans="1:10" x14ac:dyDescent="0.25">
      <c r="A13" s="2" t="s">
        <v>66</v>
      </c>
      <c r="B13" s="2" t="s">
        <v>67</v>
      </c>
      <c r="C13" s="2" t="s">
        <v>114</v>
      </c>
      <c r="D13" s="2" t="s">
        <v>115</v>
      </c>
      <c r="E13" s="2" t="str">
        <f t="shared" si="0"/>
        <v>Martin Adamson</v>
      </c>
      <c r="F13" s="2" t="s">
        <v>11</v>
      </c>
      <c r="G13" s="2" t="s">
        <v>69</v>
      </c>
      <c r="H13" s="2" t="s">
        <v>68</v>
      </c>
      <c r="I13" s="2" t="s">
        <v>117</v>
      </c>
      <c r="J13" s="2" t="s">
        <v>119</v>
      </c>
    </row>
    <row r="14" spans="1:10" x14ac:dyDescent="0.25">
      <c r="A14" s="2" t="s">
        <v>70</v>
      </c>
      <c r="B14" s="2" t="s">
        <v>71</v>
      </c>
      <c r="C14" s="2" t="s">
        <v>72</v>
      </c>
      <c r="D14" s="2" t="s">
        <v>73</v>
      </c>
      <c r="E14" s="2" t="str">
        <f t="shared" si="0"/>
        <v>AmyDruce</v>
      </c>
      <c r="F14" s="2" t="s">
        <v>39</v>
      </c>
      <c r="G14" s="2" t="s">
        <v>74</v>
      </c>
      <c r="H14" s="2" t="s">
        <v>41</v>
      </c>
      <c r="I14" s="2" t="s">
        <v>117</v>
      </c>
      <c r="J14" s="2" t="s">
        <v>118</v>
      </c>
    </row>
    <row r="15" spans="1:10" x14ac:dyDescent="0.25">
      <c r="A15" s="2" t="s">
        <v>75</v>
      </c>
      <c r="B15" s="2" t="s">
        <v>76</v>
      </c>
      <c r="C15" s="2" t="s">
        <v>77</v>
      </c>
      <c r="D15" s="2" t="s">
        <v>78</v>
      </c>
      <c r="E15" s="2" t="str">
        <f t="shared" si="0"/>
        <v>MartinCoetsee</v>
      </c>
      <c r="F15" s="2" t="s">
        <v>11</v>
      </c>
      <c r="G15" s="2" t="s">
        <v>79</v>
      </c>
      <c r="H15" s="2" t="s">
        <v>47</v>
      </c>
      <c r="I15" s="2" t="s">
        <v>117</v>
      </c>
      <c r="J15" s="2" t="s">
        <v>119</v>
      </c>
    </row>
    <row r="16" spans="1:10" x14ac:dyDescent="0.25">
      <c r="A16" s="2" t="s">
        <v>80</v>
      </c>
      <c r="B16" s="2" t="s">
        <v>81</v>
      </c>
      <c r="C16" s="2" t="s">
        <v>113</v>
      </c>
      <c r="D16" s="2" t="s">
        <v>82</v>
      </c>
      <c r="E16" s="2" t="str">
        <f t="shared" si="0"/>
        <v>Gerarddu Toit</v>
      </c>
      <c r="F16" s="2" t="s">
        <v>11</v>
      </c>
      <c r="G16" s="2" t="s">
        <v>83</v>
      </c>
      <c r="H16" s="2" t="s">
        <v>84</v>
      </c>
      <c r="I16" s="2" t="s">
        <v>117</v>
      </c>
      <c r="J16" s="2" t="s">
        <v>119</v>
      </c>
    </row>
    <row r="17" spans="1:10" x14ac:dyDescent="0.25">
      <c r="A17" s="2" t="s">
        <v>85</v>
      </c>
      <c r="B17" s="2" t="s">
        <v>86</v>
      </c>
      <c r="C17" s="2" t="s">
        <v>87</v>
      </c>
      <c r="D17" s="2" t="s">
        <v>88</v>
      </c>
      <c r="E17" s="2" t="str">
        <f t="shared" si="0"/>
        <v>OdirileThoane</v>
      </c>
      <c r="F17" s="2" t="s">
        <v>4</v>
      </c>
      <c r="G17" s="2" t="s">
        <v>89</v>
      </c>
      <c r="H17" s="2" t="s">
        <v>112</v>
      </c>
      <c r="I17" s="2" t="s">
        <v>116</v>
      </c>
      <c r="J17" s="2" t="s">
        <v>119</v>
      </c>
    </row>
    <row r="18" spans="1:10" x14ac:dyDescent="0.25">
      <c r="A18" s="2" t="s">
        <v>90</v>
      </c>
      <c r="B18" s="2" t="s">
        <v>91</v>
      </c>
      <c r="C18" s="2" t="s">
        <v>92</v>
      </c>
      <c r="D18" s="2" t="s">
        <v>93</v>
      </c>
      <c r="E18" s="2" t="str">
        <f t="shared" si="0"/>
        <v>OnthatileNkunzi</v>
      </c>
      <c r="F18" s="2" t="s">
        <v>4</v>
      </c>
      <c r="G18" s="2" t="s">
        <v>94</v>
      </c>
      <c r="H18" s="2" t="s">
        <v>112</v>
      </c>
      <c r="I18" s="2" t="s">
        <v>116</v>
      </c>
      <c r="J18" s="2" t="s">
        <v>119</v>
      </c>
    </row>
    <row r="19" spans="1:10" x14ac:dyDescent="0.25">
      <c r="A19" s="2" t="s">
        <v>95</v>
      </c>
      <c r="B19" s="2" t="s">
        <v>96</v>
      </c>
      <c r="C19" s="2" t="s">
        <v>97</v>
      </c>
      <c r="D19" s="2" t="s">
        <v>98</v>
      </c>
      <c r="E19" s="2" t="str">
        <f t="shared" si="0"/>
        <v>MeganBlack</v>
      </c>
      <c r="F19" s="2" t="s">
        <v>11</v>
      </c>
      <c r="G19" s="2" t="s">
        <v>99</v>
      </c>
      <c r="H19" s="2" t="s">
        <v>100</v>
      </c>
      <c r="I19" s="2" t="s">
        <v>117</v>
      </c>
      <c r="J19" s="2" t="s">
        <v>119</v>
      </c>
    </row>
  </sheetData>
  <autoFilter ref="A1:J1" xr:uid="{CA2289DA-9273-4A54-8BD7-8A7840CB09F9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78CCF-6CAB-4F41-913F-1047BB5A1F09}">
  <dimension ref="A1:E48"/>
  <sheetViews>
    <sheetView tabSelected="1" workbookViewId="0">
      <selection activeCell="G34" sqref="G34"/>
    </sheetView>
  </sheetViews>
  <sheetFormatPr defaultRowHeight="15" x14ac:dyDescent="0.25"/>
  <cols>
    <col min="1" max="1" width="32.5703125" bestFit="1" customWidth="1"/>
    <col min="2" max="2" width="16.85546875" bestFit="1" customWidth="1"/>
    <col min="3" max="3" width="20.140625" bestFit="1" customWidth="1"/>
    <col min="4" max="4" width="8.140625" bestFit="1" customWidth="1"/>
    <col min="5" max="5" width="11.28515625" bestFit="1" customWidth="1"/>
  </cols>
  <sheetData>
    <row r="1" spans="1:5" x14ac:dyDescent="0.25">
      <c r="A1" s="3" t="s">
        <v>109</v>
      </c>
      <c r="B1" t="s">
        <v>122</v>
      </c>
    </row>
    <row r="2" spans="1:5" x14ac:dyDescent="0.25">
      <c r="A2" s="3" t="s">
        <v>106</v>
      </c>
      <c r="B2" t="s">
        <v>122</v>
      </c>
    </row>
    <row r="4" spans="1:5" x14ac:dyDescent="0.25">
      <c r="A4" s="3" t="s">
        <v>124</v>
      </c>
      <c r="B4" s="3" t="s">
        <v>123</v>
      </c>
    </row>
    <row r="5" spans="1:5" x14ac:dyDescent="0.25">
      <c r="A5" s="3" t="s">
        <v>120</v>
      </c>
      <c r="B5" t="s">
        <v>4</v>
      </c>
      <c r="C5" t="s">
        <v>11</v>
      </c>
      <c r="D5" t="s">
        <v>39</v>
      </c>
      <c r="E5" t="s">
        <v>121</v>
      </c>
    </row>
    <row r="6" spans="1:5" x14ac:dyDescent="0.25">
      <c r="A6" s="4" t="s">
        <v>112</v>
      </c>
      <c r="B6" s="6">
        <v>3</v>
      </c>
      <c r="C6" s="6"/>
      <c r="D6" s="6"/>
      <c r="E6" s="6">
        <v>3</v>
      </c>
    </row>
    <row r="7" spans="1:5" x14ac:dyDescent="0.25">
      <c r="A7" s="5" t="s">
        <v>116</v>
      </c>
      <c r="B7" s="6">
        <v>3</v>
      </c>
      <c r="C7" s="6"/>
      <c r="D7" s="6"/>
      <c r="E7" s="6">
        <v>3</v>
      </c>
    </row>
    <row r="8" spans="1:5" x14ac:dyDescent="0.25">
      <c r="A8" s="7" t="s">
        <v>125</v>
      </c>
      <c r="B8" s="6">
        <v>1</v>
      </c>
      <c r="C8" s="6"/>
      <c r="D8" s="6"/>
      <c r="E8" s="6">
        <v>1</v>
      </c>
    </row>
    <row r="9" spans="1:5" x14ac:dyDescent="0.25">
      <c r="A9" s="7" t="s">
        <v>126</v>
      </c>
      <c r="B9" s="6">
        <v>1</v>
      </c>
      <c r="C9" s="6"/>
      <c r="D9" s="6"/>
      <c r="E9" s="6">
        <v>1</v>
      </c>
    </row>
    <row r="10" spans="1:5" x14ac:dyDescent="0.25">
      <c r="A10" s="7" t="s">
        <v>127</v>
      </c>
      <c r="B10" s="6">
        <v>1</v>
      </c>
      <c r="C10" s="6"/>
      <c r="D10" s="6"/>
      <c r="E10" s="6">
        <v>1</v>
      </c>
    </row>
    <row r="11" spans="1:5" x14ac:dyDescent="0.25">
      <c r="A11" s="4" t="s">
        <v>65</v>
      </c>
      <c r="B11" s="6"/>
      <c r="C11" s="6"/>
      <c r="D11" s="6">
        <v>1</v>
      </c>
      <c r="E11" s="6">
        <v>1</v>
      </c>
    </row>
    <row r="12" spans="1:5" x14ac:dyDescent="0.25">
      <c r="A12" s="5" t="s">
        <v>116</v>
      </c>
      <c r="B12" s="6"/>
      <c r="C12" s="6"/>
      <c r="D12" s="6">
        <v>1</v>
      </c>
      <c r="E12" s="6">
        <v>1</v>
      </c>
    </row>
    <row r="13" spans="1:5" x14ac:dyDescent="0.25">
      <c r="A13" s="7" t="s">
        <v>128</v>
      </c>
      <c r="B13" s="6"/>
      <c r="C13" s="6"/>
      <c r="D13" s="6">
        <v>1</v>
      </c>
      <c r="E13" s="6">
        <v>1</v>
      </c>
    </row>
    <row r="14" spans="1:5" x14ac:dyDescent="0.25">
      <c r="A14" s="4" t="s">
        <v>100</v>
      </c>
      <c r="B14" s="6"/>
      <c r="C14" s="6">
        <v>1</v>
      </c>
      <c r="D14" s="6"/>
      <c r="E14" s="6">
        <v>1</v>
      </c>
    </row>
    <row r="15" spans="1:5" x14ac:dyDescent="0.25">
      <c r="A15" s="5" t="s">
        <v>117</v>
      </c>
      <c r="B15" s="6"/>
      <c r="C15" s="6">
        <v>1</v>
      </c>
      <c r="D15" s="6"/>
      <c r="E15" s="6">
        <v>1</v>
      </c>
    </row>
    <row r="16" spans="1:5" x14ac:dyDescent="0.25">
      <c r="A16" s="7" t="s">
        <v>129</v>
      </c>
      <c r="B16" s="6"/>
      <c r="C16" s="6">
        <v>1</v>
      </c>
      <c r="D16" s="6"/>
      <c r="E16" s="6">
        <v>1</v>
      </c>
    </row>
    <row r="17" spans="1:5" x14ac:dyDescent="0.25">
      <c r="A17" s="4" t="s">
        <v>34</v>
      </c>
      <c r="B17" s="6"/>
      <c r="C17" s="6">
        <v>1</v>
      </c>
      <c r="D17" s="6"/>
      <c r="E17" s="6">
        <v>1</v>
      </c>
    </row>
    <row r="18" spans="1:5" x14ac:dyDescent="0.25">
      <c r="A18" s="5" t="s">
        <v>117</v>
      </c>
      <c r="B18" s="6"/>
      <c r="C18" s="6">
        <v>1</v>
      </c>
      <c r="D18" s="6"/>
      <c r="E18" s="6">
        <v>1</v>
      </c>
    </row>
    <row r="19" spans="1:5" x14ac:dyDescent="0.25">
      <c r="A19" s="7" t="s">
        <v>130</v>
      </c>
      <c r="B19" s="6"/>
      <c r="C19" s="6">
        <v>1</v>
      </c>
      <c r="D19" s="6"/>
      <c r="E19" s="6">
        <v>1</v>
      </c>
    </row>
    <row r="20" spans="1:5" x14ac:dyDescent="0.25">
      <c r="A20" s="4" t="s">
        <v>53</v>
      </c>
      <c r="B20" s="6"/>
      <c r="C20" s="6"/>
      <c r="D20" s="6">
        <v>1</v>
      </c>
      <c r="E20" s="6">
        <v>1</v>
      </c>
    </row>
    <row r="21" spans="1:5" x14ac:dyDescent="0.25">
      <c r="A21" s="5" t="s">
        <v>117</v>
      </c>
      <c r="B21" s="6"/>
      <c r="C21" s="6"/>
      <c r="D21" s="6">
        <v>1</v>
      </c>
      <c r="E21" s="6">
        <v>1</v>
      </c>
    </row>
    <row r="22" spans="1:5" x14ac:dyDescent="0.25">
      <c r="A22" s="7" t="s">
        <v>131</v>
      </c>
      <c r="B22" s="6"/>
      <c r="C22" s="6"/>
      <c r="D22" s="6">
        <v>1</v>
      </c>
      <c r="E22" s="6">
        <v>1</v>
      </c>
    </row>
    <row r="23" spans="1:5" x14ac:dyDescent="0.25">
      <c r="A23" s="4" t="s">
        <v>84</v>
      </c>
      <c r="B23" s="6"/>
      <c r="C23" s="6">
        <v>1</v>
      </c>
      <c r="D23" s="6"/>
      <c r="E23" s="6">
        <v>1</v>
      </c>
    </row>
    <row r="24" spans="1:5" x14ac:dyDescent="0.25">
      <c r="A24" s="5" t="s">
        <v>117</v>
      </c>
      <c r="B24" s="6"/>
      <c r="C24" s="6">
        <v>1</v>
      </c>
      <c r="D24" s="6"/>
      <c r="E24" s="6">
        <v>1</v>
      </c>
    </row>
    <row r="25" spans="1:5" x14ac:dyDescent="0.25">
      <c r="A25" s="7" t="s">
        <v>132</v>
      </c>
      <c r="B25" s="6"/>
      <c r="C25" s="6">
        <v>1</v>
      </c>
      <c r="D25" s="6"/>
      <c r="E25" s="6">
        <v>1</v>
      </c>
    </row>
    <row r="26" spans="1:5" x14ac:dyDescent="0.25">
      <c r="A26" s="4" t="s">
        <v>47</v>
      </c>
      <c r="B26" s="6"/>
      <c r="C26" s="6">
        <v>1</v>
      </c>
      <c r="D26" s="6">
        <v>1</v>
      </c>
      <c r="E26" s="6">
        <v>2</v>
      </c>
    </row>
    <row r="27" spans="1:5" x14ac:dyDescent="0.25">
      <c r="A27" s="5" t="s">
        <v>117</v>
      </c>
      <c r="B27" s="6"/>
      <c r="C27" s="6">
        <v>1</v>
      </c>
      <c r="D27" s="6">
        <v>1</v>
      </c>
      <c r="E27" s="6">
        <v>2</v>
      </c>
    </row>
    <row r="28" spans="1:5" x14ac:dyDescent="0.25">
      <c r="A28" s="7" t="s">
        <v>133</v>
      </c>
      <c r="B28" s="6"/>
      <c r="C28" s="6"/>
      <c r="D28" s="6">
        <v>1</v>
      </c>
      <c r="E28" s="6">
        <v>1</v>
      </c>
    </row>
    <row r="29" spans="1:5" x14ac:dyDescent="0.25">
      <c r="A29" s="7" t="s">
        <v>134</v>
      </c>
      <c r="B29" s="6"/>
      <c r="C29" s="6">
        <v>1</v>
      </c>
      <c r="D29" s="6"/>
      <c r="E29" s="6">
        <v>1</v>
      </c>
    </row>
    <row r="30" spans="1:5" x14ac:dyDescent="0.25">
      <c r="A30" s="4" t="s">
        <v>6</v>
      </c>
      <c r="B30" s="6">
        <v>2</v>
      </c>
      <c r="C30" s="6">
        <v>1</v>
      </c>
      <c r="D30" s="6"/>
      <c r="E30" s="6">
        <v>3</v>
      </c>
    </row>
    <row r="31" spans="1:5" x14ac:dyDescent="0.25">
      <c r="A31" s="5" t="s">
        <v>111</v>
      </c>
      <c r="B31" s="6">
        <v>2</v>
      </c>
      <c r="C31" s="6">
        <v>1</v>
      </c>
      <c r="D31" s="6"/>
      <c r="E31" s="6">
        <v>3</v>
      </c>
    </row>
    <row r="32" spans="1:5" x14ac:dyDescent="0.25">
      <c r="A32" s="7" t="s">
        <v>135</v>
      </c>
      <c r="B32" s="6"/>
      <c r="C32" s="6">
        <v>1</v>
      </c>
      <c r="D32" s="6"/>
      <c r="E32" s="6">
        <v>1</v>
      </c>
    </row>
    <row r="33" spans="1:5" x14ac:dyDescent="0.25">
      <c r="A33" s="7" t="s">
        <v>136</v>
      </c>
      <c r="B33" s="6">
        <v>1</v>
      </c>
      <c r="C33" s="6"/>
      <c r="D33" s="6"/>
      <c r="E33" s="6">
        <v>1</v>
      </c>
    </row>
    <row r="34" spans="1:5" x14ac:dyDescent="0.25">
      <c r="A34" s="7" t="s">
        <v>137</v>
      </c>
      <c r="B34" s="6">
        <v>1</v>
      </c>
      <c r="C34" s="6"/>
      <c r="D34" s="6"/>
      <c r="E34" s="6">
        <v>1</v>
      </c>
    </row>
    <row r="35" spans="1:5" x14ac:dyDescent="0.25">
      <c r="A35" s="4" t="s">
        <v>23</v>
      </c>
      <c r="B35" s="6">
        <v>1</v>
      </c>
      <c r="C35" s="6"/>
      <c r="D35" s="6"/>
      <c r="E35" s="6">
        <v>1</v>
      </c>
    </row>
    <row r="36" spans="1:5" x14ac:dyDescent="0.25">
      <c r="A36" s="5" t="s">
        <v>117</v>
      </c>
      <c r="B36" s="6">
        <v>1</v>
      </c>
      <c r="C36" s="6"/>
      <c r="D36" s="6"/>
      <c r="E36" s="6">
        <v>1</v>
      </c>
    </row>
    <row r="37" spans="1:5" x14ac:dyDescent="0.25">
      <c r="A37" s="7" t="s">
        <v>138</v>
      </c>
      <c r="B37" s="6">
        <v>1</v>
      </c>
      <c r="C37" s="6"/>
      <c r="D37" s="6"/>
      <c r="E37" s="6">
        <v>1</v>
      </c>
    </row>
    <row r="38" spans="1:5" x14ac:dyDescent="0.25">
      <c r="A38" s="4" t="s">
        <v>68</v>
      </c>
      <c r="B38" s="6"/>
      <c r="C38" s="6">
        <v>1</v>
      </c>
      <c r="D38" s="6"/>
      <c r="E38" s="6">
        <v>1</v>
      </c>
    </row>
    <row r="39" spans="1:5" x14ac:dyDescent="0.25">
      <c r="A39" s="5" t="s">
        <v>117</v>
      </c>
      <c r="B39" s="6"/>
      <c r="C39" s="6">
        <v>1</v>
      </c>
      <c r="D39" s="6"/>
      <c r="E39" s="6">
        <v>1</v>
      </c>
    </row>
    <row r="40" spans="1:5" x14ac:dyDescent="0.25">
      <c r="A40" s="7" t="s">
        <v>139</v>
      </c>
      <c r="B40" s="6"/>
      <c r="C40" s="6">
        <v>1</v>
      </c>
      <c r="D40" s="6"/>
      <c r="E40" s="6">
        <v>1</v>
      </c>
    </row>
    <row r="41" spans="1:5" x14ac:dyDescent="0.25">
      <c r="A41" s="4" t="s">
        <v>59</v>
      </c>
      <c r="B41" s="6"/>
      <c r="C41" s="6">
        <v>1</v>
      </c>
      <c r="D41" s="6"/>
      <c r="E41" s="6">
        <v>1</v>
      </c>
    </row>
    <row r="42" spans="1:5" x14ac:dyDescent="0.25">
      <c r="A42" s="5" t="s">
        <v>117</v>
      </c>
      <c r="B42" s="6"/>
      <c r="C42" s="6">
        <v>1</v>
      </c>
      <c r="D42" s="6"/>
      <c r="E42" s="6">
        <v>1</v>
      </c>
    </row>
    <row r="43" spans="1:5" x14ac:dyDescent="0.25">
      <c r="A43" s="7" t="s">
        <v>140</v>
      </c>
      <c r="B43" s="6"/>
      <c r="C43" s="6">
        <v>1</v>
      </c>
      <c r="D43" s="6"/>
      <c r="E43" s="6">
        <v>1</v>
      </c>
    </row>
    <row r="44" spans="1:5" x14ac:dyDescent="0.25">
      <c r="A44" s="4" t="s">
        <v>41</v>
      </c>
      <c r="B44" s="6"/>
      <c r="C44" s="6"/>
      <c r="D44" s="6">
        <v>2</v>
      </c>
      <c r="E44" s="6">
        <v>2</v>
      </c>
    </row>
    <row r="45" spans="1:5" x14ac:dyDescent="0.25">
      <c r="A45" s="5" t="s">
        <v>117</v>
      </c>
      <c r="B45" s="6"/>
      <c r="C45" s="6"/>
      <c r="D45" s="6">
        <v>2</v>
      </c>
      <c r="E45" s="6">
        <v>2</v>
      </c>
    </row>
    <row r="46" spans="1:5" x14ac:dyDescent="0.25">
      <c r="A46" s="7" t="s">
        <v>141</v>
      </c>
      <c r="B46" s="6"/>
      <c r="C46" s="6"/>
      <c r="D46" s="6">
        <v>1</v>
      </c>
      <c r="E46" s="6">
        <v>1</v>
      </c>
    </row>
    <row r="47" spans="1:5" x14ac:dyDescent="0.25">
      <c r="A47" s="7" t="s">
        <v>142</v>
      </c>
      <c r="B47" s="6"/>
      <c r="C47" s="6"/>
      <c r="D47" s="6">
        <v>1</v>
      </c>
      <c r="E47" s="6">
        <v>1</v>
      </c>
    </row>
    <row r="48" spans="1:5" x14ac:dyDescent="0.25">
      <c r="A48" s="4" t="s">
        <v>121</v>
      </c>
      <c r="B48" s="6">
        <v>6</v>
      </c>
      <c r="C48" s="6">
        <v>7</v>
      </c>
      <c r="D48" s="6">
        <v>5</v>
      </c>
      <c r="E48" s="6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Pivot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Bobbs</dc:creator>
  <cp:lastModifiedBy>Brandon Bobbs</cp:lastModifiedBy>
  <dcterms:created xsi:type="dcterms:W3CDTF">2026-05-18T13:44:45Z</dcterms:created>
  <dcterms:modified xsi:type="dcterms:W3CDTF">2026-05-18T13:52:49Z</dcterms:modified>
</cp:coreProperties>
</file>